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Project-2\"/>
    </mc:Choice>
  </mc:AlternateContent>
  <xr:revisionPtr revIDLastSave="0" documentId="13_ncr:1_{80F0A1D1-B407-4826-8758-CB268781AB0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Dashboard" sheetId="1" r:id="rId1"/>
    <sheet name="Raw Data" sheetId="2" r:id="rId2"/>
    <sheet name="Segment  Data" sheetId="3" r:id="rId3"/>
    <sheet name="City Analysis" sheetId="4" r:id="rId4"/>
    <sheet name="Gender Analysis" sheetId="5" r:id="rId5"/>
  </sheets>
  <definedNames>
    <definedName name="CustomerData">'Raw Data'!$A$2:$I$55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F3" i="4"/>
  <c r="E7" i="3"/>
  <c r="E6" i="3"/>
  <c r="E5" i="3"/>
  <c r="E4" i="3"/>
  <c r="E3" i="3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P5" i="1"/>
  <c r="K5" i="1"/>
  <c r="F5" i="1"/>
  <c r="A5" i="1"/>
</calcChain>
</file>

<file path=xl/sharedStrings.xml><?xml version="1.0" encoding="utf-8"?>
<sst xmlns="http://schemas.openxmlformats.org/spreadsheetml/2006/main" count="261" uniqueCount="116">
  <si>
    <t>TOTAL REVENUE</t>
  </si>
  <si>
    <t>TOTAL CUSTOMERS</t>
  </si>
  <si>
    <t>AVG. PURCHASE</t>
  </si>
  <si>
    <t>AVG ORDERS</t>
  </si>
  <si>
    <t>Revenue By City</t>
  </si>
  <si>
    <t>Revenue by Gender</t>
  </si>
  <si>
    <t>City</t>
  </si>
  <si>
    <t>Customers</t>
  </si>
  <si>
    <t>Total Revenue</t>
  </si>
  <si>
    <t>Avg Purchase</t>
  </si>
  <si>
    <t>Gender</t>
  </si>
  <si>
    <t>Avg Orders</t>
  </si>
  <si>
    <t>Mumbai</t>
  </si>
  <si>
    <t>Male</t>
  </si>
  <si>
    <t>Bangalore</t>
  </si>
  <si>
    <t>Female</t>
  </si>
  <si>
    <t>Hyderabad</t>
  </si>
  <si>
    <t>Chennai</t>
  </si>
  <si>
    <t>Customer Segments</t>
  </si>
  <si>
    <t>Revenue by Age Group</t>
  </si>
  <si>
    <t>Segment</t>
  </si>
  <si>
    <t xml:space="preserve"> Customer</t>
  </si>
  <si>
    <t>Age Group</t>
  </si>
  <si>
    <t>customer</t>
  </si>
  <si>
    <t>Regular</t>
  </si>
  <si>
    <t>18-25</t>
  </si>
  <si>
    <t>Loyal</t>
  </si>
  <si>
    <t>26-30</t>
  </si>
  <si>
    <t>New</t>
  </si>
  <si>
    <t>31-35</t>
  </si>
  <si>
    <t>High Loyalty</t>
  </si>
  <si>
    <t>36-40</t>
  </si>
  <si>
    <t>40+</t>
  </si>
  <si>
    <t xml:space="preserve">  💡  Key Insights</t>
  </si>
  <si>
    <t>🥇 Top City</t>
  </si>
  <si>
    <t>💰 High Spenders</t>
  </si>
  <si>
    <t>🔁 Loyalty</t>
  </si>
  <si>
    <t>🎯 Prime Age</t>
  </si>
  <si>
    <t>Mumbai leads with ₹32,100</t>
  </si>
  <si>
    <t>Male customers spend 27% more on average</t>
  </si>
  <si>
    <t>Loyal + High Loyalty = 49% of customers</t>
  </si>
  <si>
    <t>26–35 age group drives highest revenue</t>
  </si>
  <si>
    <t>Customer Behaviour Analysis  —  Raw Data  (53 Records)</t>
  </si>
  <si>
    <t>Customer_ID</t>
  </si>
  <si>
    <t>Customer Name</t>
  </si>
  <si>
    <t>Age</t>
  </si>
  <si>
    <t>Purchase Amount</t>
  </si>
  <si>
    <t>Order Count</t>
  </si>
  <si>
    <t>Customer Segment</t>
  </si>
  <si>
    <t>Ravi</t>
  </si>
  <si>
    <t>Sita</t>
  </si>
  <si>
    <t>Arjun</t>
  </si>
  <si>
    <t>Priya</t>
  </si>
  <si>
    <t>Kiran</t>
  </si>
  <si>
    <t>Anjali</t>
  </si>
  <si>
    <t>Rahul</t>
  </si>
  <si>
    <t>Meena</t>
  </si>
  <si>
    <t>Vikram</t>
  </si>
  <si>
    <t>Divya</t>
  </si>
  <si>
    <t>Ajay</t>
  </si>
  <si>
    <t>Pooja</t>
  </si>
  <si>
    <t>Manoj</t>
  </si>
  <si>
    <t>Kavya</t>
  </si>
  <si>
    <t>Suresh</t>
  </si>
  <si>
    <t>Neha</t>
  </si>
  <si>
    <t>Ramesh</t>
  </si>
  <si>
    <t>Asha</t>
  </si>
  <si>
    <t>Deepak</t>
  </si>
  <si>
    <t>Sneha</t>
  </si>
  <si>
    <t>Venu</t>
  </si>
  <si>
    <t>Swathi</t>
  </si>
  <si>
    <t>Gopi</t>
  </si>
  <si>
    <t>Lakshmi</t>
  </si>
  <si>
    <t>Naveen</t>
  </si>
  <si>
    <t>Harsha</t>
  </si>
  <si>
    <t>Prakash</t>
  </si>
  <si>
    <t>Keerthi</t>
  </si>
  <si>
    <t>Rajesh</t>
  </si>
  <si>
    <t>Anu</t>
  </si>
  <si>
    <t>Karthik</t>
  </si>
  <si>
    <t>Bindu</t>
  </si>
  <si>
    <t>Mahesh</t>
  </si>
  <si>
    <t>Rekha</t>
  </si>
  <si>
    <t>Sunil</t>
  </si>
  <si>
    <t>Deepa</t>
  </si>
  <si>
    <t>Raghu</t>
  </si>
  <si>
    <t>Nisha</t>
  </si>
  <si>
    <t>Aravind</t>
  </si>
  <si>
    <t>Shilpa</t>
  </si>
  <si>
    <t>Naresh</t>
  </si>
  <si>
    <t>Teja</t>
  </si>
  <si>
    <t>Kishore</t>
  </si>
  <si>
    <t>Sravya</t>
  </si>
  <si>
    <t>Murali</t>
  </si>
  <si>
    <t>Hema</t>
  </si>
  <si>
    <t>Santosh</t>
  </si>
  <si>
    <t>Latha</t>
  </si>
  <si>
    <t>Praveen</t>
  </si>
  <si>
    <t>Geetha</t>
  </si>
  <si>
    <t>Unknown</t>
  </si>
  <si>
    <t>Anil</t>
  </si>
  <si>
    <t>Customer Segmentation Analysis</t>
  </si>
  <si>
    <t>No . Of Customers</t>
  </si>
  <si>
    <t>Total Revenue(₹)</t>
  </si>
  <si>
    <t>Revenue Share</t>
  </si>
  <si>
    <t>Total Result</t>
  </si>
  <si>
    <t>Revenue &amp; Customer Analysis by City</t>
  </si>
  <si>
    <t>No .of  Customer</t>
  </si>
  <si>
    <t>Avg – Purchase(₹)</t>
  </si>
  <si>
    <t>Avg Order</t>
  </si>
  <si>
    <t>Gender &amp; Age Group Analysis</t>
  </si>
  <si>
    <t>By Gender</t>
  </si>
  <si>
    <t>By Age Group</t>
  </si>
  <si>
    <t>Count - Customer_ID</t>
  </si>
  <si>
    <t>Average - Purchase Amount</t>
  </si>
  <si>
    <t>CUSTOMER BEHAVIOUR ANALYSIS |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</si>
</sst>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₹-44A]#,##0.00;[Red]\-[$₹-44A]#,##0.00"/>
    <numFmt numFmtId="165" formatCode="#,##0.0"/>
    <numFmt numFmtId="166" formatCode="[$₹-44A]#,##0;[Red]\-[$₹-44A]#,##0"/>
  </numFmts>
  <fonts count="19" x14ac:knownFonts="1">
    <font>
      <sz val="10"/>
      <name val="Arial"/>
      <family val="2"/>
    </font>
    <font>
      <b/>
      <sz val="10"/>
      <name val="Arial"/>
      <family val="2"/>
    </font>
    <font>
      <b/>
      <sz val="12"/>
      <color rgb="FFFFFFFF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6"/>
      <color theme="2"/>
      <name val="Calibri"/>
      <family val="2"/>
    </font>
    <font>
      <b/>
      <sz val="14"/>
      <color theme="2"/>
      <name val="Calibri"/>
      <family val="2"/>
    </font>
    <font>
      <b/>
      <sz val="14"/>
      <color rgb="FFFFFFFF"/>
      <name val="Calibri"/>
      <family val="2"/>
    </font>
    <font>
      <sz val="16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sz val="16"/>
      <color rgb="FF000000"/>
      <name val="Calibri"/>
      <family val="2"/>
    </font>
    <font>
      <b/>
      <sz val="16"/>
      <color rgb="FF1B2A4A"/>
      <name val="Calibri"/>
      <family val="2"/>
    </font>
    <font>
      <b/>
      <sz val="16"/>
      <color rgb="FFFFFFFF"/>
      <name val="Calibri"/>
      <family val="2"/>
    </font>
    <font>
      <i/>
      <sz val="16"/>
      <color rgb="FF2C3E50"/>
      <name val="Calibri"/>
      <family val="2"/>
    </font>
    <font>
      <b/>
      <sz val="20"/>
      <color theme="2"/>
      <name val="Calibri"/>
      <family val="2"/>
    </font>
    <font>
      <sz val="12"/>
      <name val="Calibri"/>
      <family val="2"/>
    </font>
    <font>
      <b/>
      <sz val="12"/>
      <color theme="2"/>
      <name val="Calibri"/>
      <family val="2"/>
    </font>
    <font>
      <b/>
      <sz val="12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778899"/>
        <bgColor rgb="FF808080"/>
      </patternFill>
    </fill>
    <fill>
      <patternFill patternType="solid">
        <fgColor rgb="FF729FCF"/>
        <bgColor rgb="FF6495ED"/>
      </patternFill>
    </fill>
    <fill>
      <patternFill patternType="solid">
        <fgColor rgb="FF87CEEB"/>
        <bgColor rgb="FFADD8E6"/>
      </patternFill>
    </fill>
    <fill>
      <patternFill patternType="solid">
        <fgColor rgb="FFADD8E6"/>
        <bgColor rgb="FF87CEEB"/>
      </patternFill>
    </fill>
    <fill>
      <patternFill patternType="solid">
        <fgColor rgb="FF6495ED"/>
        <bgColor rgb="FF729FCF"/>
      </patternFill>
    </fill>
    <fill>
      <patternFill patternType="solid">
        <fgColor rgb="FF1B2A4A"/>
        <bgColor rgb="FF2C3E50"/>
      </patternFill>
    </fill>
    <fill>
      <patternFill patternType="solid">
        <fgColor rgb="FF1A84A4"/>
        <bgColor rgb="FF2E86AB"/>
      </patternFill>
    </fill>
    <fill>
      <patternFill patternType="solid">
        <fgColor rgb="FFF0F4F8"/>
        <bgColor rgb="FFFFFFFF"/>
      </patternFill>
    </fill>
    <fill>
      <patternFill patternType="solid">
        <fgColor rgb="FF2E86AB"/>
        <bgColor rgb="FF1A84A4"/>
      </patternFill>
    </fill>
    <fill>
      <patternFill patternType="solid">
        <fgColor rgb="FFD5E8F4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4682B4"/>
        <bgColor rgb="FF2E86AB"/>
      </patternFill>
    </fill>
    <fill>
      <patternFill patternType="solid">
        <fgColor rgb="FF008080"/>
        <bgColor rgb="FF1A84A4"/>
      </patternFill>
    </fill>
    <fill>
      <patternFill patternType="solid">
        <fgColor theme="5" tint="-0.499984740745262"/>
        <bgColor rgb="FF2C3E50"/>
      </patternFill>
    </fill>
    <fill>
      <patternFill patternType="solid">
        <fgColor theme="2"/>
        <bgColor rgb="FF00FFFF"/>
      </patternFill>
    </fill>
    <fill>
      <patternFill patternType="solid">
        <fgColor rgb="FF0070C0"/>
        <bgColor rgb="FF00FFFF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rgb="FF004586"/>
      </patternFill>
    </fill>
    <fill>
      <patternFill patternType="solid">
        <fgColor rgb="FF0070C0"/>
        <bgColor rgb="FF579D1C"/>
      </patternFill>
    </fill>
    <fill>
      <patternFill patternType="solid">
        <fgColor rgb="FF0070C0"/>
        <bgColor rgb="FF2E86AB"/>
      </patternFill>
    </fill>
    <fill>
      <patternFill patternType="solid">
        <fgColor theme="5" tint="0.59999389629810485"/>
        <bgColor rgb="FF2E86AB"/>
      </patternFill>
    </fill>
    <fill>
      <patternFill patternType="solid">
        <fgColor theme="5" tint="0.59999389629810485"/>
        <bgColor rgb="FF000080"/>
      </patternFill>
    </fill>
    <fill>
      <patternFill patternType="solid">
        <fgColor theme="5" tint="0.59999389629810485"/>
        <bgColor rgb="FF004586"/>
      </patternFill>
    </fill>
    <fill>
      <patternFill patternType="solid">
        <fgColor theme="5" tint="0.59999389629810485"/>
        <bgColor rgb="FF579D1C"/>
      </patternFill>
    </fill>
    <fill>
      <patternFill patternType="solid">
        <fgColor theme="5" tint="0.59999389629810485"/>
        <bgColor rgb="FFFFD320"/>
      </patternFill>
    </fill>
    <fill>
      <patternFill patternType="solid">
        <fgColor rgb="FF0070C0"/>
        <bgColor rgb="FFFFD32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E86AB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3" fillId="2" borderId="0" applyBorder="0" applyProtection="0"/>
    <xf numFmtId="0" fontId="3" fillId="3" borderId="0" applyProtection="0"/>
    <xf numFmtId="0" fontId="3" fillId="4" borderId="0" applyBorder="0" applyProtection="0"/>
    <xf numFmtId="0" fontId="3" fillId="5" borderId="0" applyBorder="0" applyProtection="0"/>
    <xf numFmtId="0" fontId="3" fillId="6" borderId="0" applyBorder="0" applyProtection="0"/>
  </cellStyleXfs>
  <cellXfs count="68">
    <xf numFmtId="0" fontId="0" fillId="0" borderId="0" xfId="0"/>
    <xf numFmtId="0" fontId="0" fillId="12" borderId="0" xfId="0" applyFill="1"/>
    <xf numFmtId="0" fontId="4" fillId="0" borderId="0" xfId="0" applyFont="1"/>
    <xf numFmtId="0" fontId="4" fillId="11" borderId="0" xfId="0" applyFont="1" applyFill="1"/>
    <xf numFmtId="0" fontId="2" fillId="7" borderId="1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8" fillId="0" borderId="0" xfId="0" applyFont="1"/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164" fontId="10" fillId="22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64" fontId="9" fillId="25" borderId="0" xfId="0" applyNumberFormat="1" applyFont="1" applyFill="1" applyAlignment="1">
      <alignment horizontal="center" vertical="center"/>
    </xf>
    <xf numFmtId="165" fontId="9" fillId="26" borderId="0" xfId="0" applyNumberFormat="1" applyFont="1" applyFill="1" applyAlignment="1">
      <alignment horizontal="center" vertical="center"/>
    </xf>
    <xf numFmtId="0" fontId="5" fillId="17" borderId="4" xfId="1" applyFont="1" applyFill="1" applyBorder="1" applyAlignment="1">
      <alignment horizontal="center" vertical="center"/>
    </xf>
    <xf numFmtId="0" fontId="5" fillId="17" borderId="5" xfId="1" applyFont="1" applyFill="1" applyBorder="1" applyAlignment="1">
      <alignment horizontal="center" vertical="center"/>
    </xf>
    <xf numFmtId="0" fontId="5" fillId="17" borderId="6" xfId="1" applyFont="1" applyFill="1" applyBorder="1" applyAlignment="1">
      <alignment horizontal="center" vertical="center"/>
    </xf>
    <xf numFmtId="0" fontId="11" fillId="16" borderId="0" xfId="1" applyFont="1" applyFill="1" applyBorder="1" applyAlignment="1">
      <alignment vertical="center"/>
    </xf>
    <xf numFmtId="0" fontId="8" fillId="16" borderId="0" xfId="1" applyFont="1" applyFill="1" applyBorder="1" applyAlignment="1">
      <alignment vertical="center"/>
    </xf>
    <xf numFmtId="0" fontId="5" fillId="23" borderId="1" xfId="3" applyFont="1" applyFill="1" applyBorder="1" applyAlignment="1">
      <alignment horizontal="center" vertical="center"/>
    </xf>
    <xf numFmtId="0" fontId="5" fillId="23" borderId="1" xfId="4" applyFont="1" applyFill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 vertical="center"/>
    </xf>
    <xf numFmtId="166" fontId="8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8" fillId="18" borderId="0" xfId="0" applyFont="1" applyFill="1"/>
    <xf numFmtId="0" fontId="8" fillId="18" borderId="1" xfId="4" applyFont="1" applyFill="1" applyBorder="1" applyAlignment="1">
      <alignment horizontal="center" vertical="center"/>
    </xf>
    <xf numFmtId="0" fontId="8" fillId="18" borderId="1" xfId="2" applyFont="1" applyFill="1" applyBorder="1" applyAlignment="1">
      <alignment horizontal="center" vertical="center"/>
    </xf>
    <xf numFmtId="166" fontId="8" fillId="18" borderId="1" xfId="2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3" fillId="10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7" fillId="7" borderId="1" xfId="1" applyFont="1" applyFill="1" applyBorder="1" applyAlignment="1">
      <alignment horizontal="center"/>
    </xf>
    <xf numFmtId="0" fontId="17" fillId="13" borderId="1" xfId="3" applyFont="1" applyFill="1" applyBorder="1" applyAlignment="1">
      <alignment horizontal="center" vertical="center"/>
    </xf>
    <xf numFmtId="0" fontId="17" fillId="13" borderId="1" xfId="4" applyFont="1" applyFill="1" applyBorder="1" applyAlignment="1">
      <alignment horizontal="center" vertical="center"/>
    </xf>
    <xf numFmtId="0" fontId="17" fillId="13" borderId="1" xfId="0" applyFont="1" applyFill="1" applyBorder="1"/>
    <xf numFmtId="0" fontId="16" fillId="0" borderId="1" xfId="4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64" fontId="16" fillId="0" borderId="1" xfId="2" applyNumberFormat="1" applyFont="1" applyBorder="1" applyAlignment="1">
      <alignment horizontal="center" vertical="center"/>
    </xf>
    <xf numFmtId="4" fontId="16" fillId="0" borderId="1" xfId="2" applyNumberFormat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164" fontId="18" fillId="0" borderId="1" xfId="6" applyNumberFormat="1" applyFont="1" applyBorder="1" applyAlignment="1">
      <alignment horizontal="center" vertical="center"/>
    </xf>
    <xf numFmtId="4" fontId="18" fillId="0" borderId="1" xfId="6" applyNumberFormat="1" applyFont="1" applyBorder="1" applyAlignment="1">
      <alignment horizontal="center" vertical="center"/>
    </xf>
    <xf numFmtId="0" fontId="17" fillId="8" borderId="1" xfId="3" applyFont="1" applyFill="1" applyBorder="1" applyAlignment="1">
      <alignment horizontal="center" vertical="center"/>
    </xf>
    <xf numFmtId="0" fontId="17" fillId="8" borderId="1" xfId="4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7" fillId="14" borderId="3" xfId="1" applyFont="1" applyFill="1" applyBorder="1" applyAlignment="1">
      <alignment horizontal="center"/>
    </xf>
    <xf numFmtId="0" fontId="16" fillId="0" borderId="0" xfId="0" applyFont="1"/>
    <xf numFmtId="0" fontId="16" fillId="8" borderId="1" xfId="3" applyFont="1" applyFill="1" applyBorder="1" applyAlignment="1">
      <alignment horizontal="center" vertical="center"/>
    </xf>
    <xf numFmtId="0" fontId="16" fillId="8" borderId="1" xfId="4" applyFont="1" applyFill="1" applyBorder="1" applyAlignment="1">
      <alignment horizontal="center" vertical="center"/>
    </xf>
    <xf numFmtId="166" fontId="16" fillId="8" borderId="1" xfId="0" applyNumberFormat="1" applyFont="1" applyFill="1" applyBorder="1" applyAlignment="1">
      <alignment horizontal="center" vertical="center"/>
    </xf>
    <xf numFmtId="4" fontId="16" fillId="8" borderId="1" xfId="0" applyNumberFormat="1" applyFont="1" applyFill="1" applyBorder="1" applyAlignment="1">
      <alignment horizontal="center" vertical="center"/>
    </xf>
    <xf numFmtId="166" fontId="16" fillId="0" borderId="1" xfId="2" applyNumberFormat="1" applyFont="1" applyBorder="1" applyAlignment="1">
      <alignment horizontal="center" vertical="center"/>
    </xf>
    <xf numFmtId="166" fontId="18" fillId="0" borderId="1" xfId="6" applyNumberFormat="1" applyFont="1" applyBorder="1" applyAlignment="1">
      <alignment horizontal="center" vertical="center"/>
    </xf>
    <xf numFmtId="0" fontId="17" fillId="14" borderId="3" xfId="1" applyFont="1" applyFill="1" applyBorder="1" applyAlignment="1">
      <alignment horizontal="center" vertical="center"/>
    </xf>
    <xf numFmtId="0" fontId="16" fillId="12" borderId="1" xfId="4" applyFont="1" applyFill="1" applyBorder="1" applyAlignment="1">
      <alignment horizontal="center" vertical="center"/>
    </xf>
    <xf numFmtId="0" fontId="16" fillId="12" borderId="1" xfId="2" applyFont="1" applyFill="1" applyBorder="1" applyAlignment="1">
      <alignment horizontal="center" vertical="center"/>
    </xf>
    <xf numFmtId="166" fontId="16" fillId="12" borderId="1" xfId="2" applyNumberFormat="1" applyFont="1" applyFill="1" applyBorder="1" applyAlignment="1">
      <alignment horizontal="center" vertical="center"/>
    </xf>
    <xf numFmtId="164" fontId="16" fillId="12" borderId="1" xfId="2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2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  <cellStyle name="Untitled1" xfId="7" xr:uid="{00000000-0005-0000-0000-00000C000000}"/>
    <cellStyle name="Untitled2" xfId="8" xr:uid="{00000000-0005-0000-0000-00000D000000}"/>
    <cellStyle name="Untitled3" xfId="9" xr:uid="{00000000-0005-0000-0000-00000E000000}"/>
    <cellStyle name="Untitled4" xfId="10" xr:uid="{00000000-0005-0000-0000-00000F000000}"/>
    <cellStyle name="Untitled5" xfId="11" xr:uid="{00000000-0005-0000-0000-000010000000}"/>
  </cellStyles>
  <dxfs count="47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color theme="2"/>
      </font>
    </dxf>
    <dxf>
      <font>
        <color theme="2"/>
      </font>
    </dxf>
    <dxf>
      <font>
        <name val="Arial"/>
        <family val="2"/>
      </font>
      <fill>
        <patternFill>
          <bgColor rgb="FFADD8E6"/>
        </patternFill>
      </fill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</font>
    </dxf>
    <dxf>
      <font>
        <b/>
      </font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</dxfs>
  <tableStyles count="1" defaultTableStyle="TableStyleMedium2" defaultPivotStyle="PivotStyleLight16">
    <tableStyle name="Invisible" pivot="0" table="0" count="0" xr9:uid="{99F547B8-BC04-4984-951F-21C250984C5A}"/>
  </tableStyles>
  <colors>
    <indexedColors>
      <rgbColor rgb="FF000000"/>
      <rgbColor rgb="FFFFFFFF"/>
      <rgbColor rgb="FFFF0000"/>
      <rgbColor rgb="FF00FF7F"/>
      <rgbColor rgb="FF0000FF"/>
      <rgbColor rgb="FFFFD320"/>
      <rgbColor rgb="FFFF00FF"/>
      <rgbColor rgb="FF00FFFF"/>
      <rgbColor rgb="FF800000"/>
      <rgbColor rgb="FF008000"/>
      <rgbColor rgb="FF000080"/>
      <rgbColor rgb="FF579D1C"/>
      <rgbColor rgb="FF800080"/>
      <rgbColor rgb="FF008080"/>
      <rgbColor rgb="FFB3B3B3"/>
      <rgbColor rgb="FF808080"/>
      <rgbColor rgb="FF729FCF"/>
      <rgbColor rgb="FF993366"/>
      <rgbColor rgb="FFF0F4F8"/>
      <rgbColor rgb="FFD5E8F4"/>
      <rgbColor rgb="FF660066"/>
      <rgbColor rgb="FFFF8080"/>
      <rgbColor rgb="FF1549E1"/>
      <rgbColor rgb="FFADD8E6"/>
      <rgbColor rgb="FF000080"/>
      <rgbColor rgb="FFFF00FF"/>
      <rgbColor rgb="FFFFFF00"/>
      <rgbColor rgb="FF00FFFF"/>
      <rgbColor rgb="FF800080"/>
      <rgbColor rgb="FF800000"/>
      <rgbColor rgb="FF1A84A4"/>
      <rgbColor rgb="FF0000FF"/>
      <rgbColor rgb="FF00CCFF"/>
      <rgbColor rgb="FFCCFFFF"/>
      <rgbColor rgb="FFCCFFCC"/>
      <rgbColor rgb="FFFFFF99"/>
      <rgbColor rgb="FF87CEEB"/>
      <rgbColor rgb="FFFF99CC"/>
      <rgbColor rgb="FFCC99FF"/>
      <rgbColor rgb="FFFFCC99"/>
      <rgbColor rgb="FF6495ED"/>
      <rgbColor rgb="FF32CD32"/>
      <rgbColor rgb="FF99CC00"/>
      <rgbColor rgb="FFFFD700"/>
      <rgbColor rgb="FFFF9900"/>
      <rgbColor rgb="FFFF420E"/>
      <rgbColor rgb="FF4682B4"/>
      <rgbColor rgb="FF778899"/>
      <rgbColor rgb="FF004586"/>
      <rgbColor rgb="FF2E86AB"/>
      <rgbColor rgb="FF003300"/>
      <rgbColor rgb="FF1B2A4A"/>
      <rgbColor rgb="FF993300"/>
      <rgbColor rgb="FF993366"/>
      <rgbColor rgb="FF004D7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7DDD0"/>
      <color rgb="FF6AC4BE"/>
      <color rgb="FF3E7A6C"/>
      <color rgb="FF25777D"/>
      <color rgb="FF318F84"/>
      <color rgb="FF993366"/>
      <color rgb="FF5C20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Customer Segment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'Segment  Data'!$B$2</c:f>
              <c:strCache>
                <c:ptCount val="1"/>
                <c:pt idx="0">
                  <c:v>No . Of Customers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D0-4524-BD6C-49FB45D6F8CF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7D0-4524-BD6C-49FB45D6F8CF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7D0-4524-BD6C-49FB45D6F8CF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7D0-4524-BD6C-49FB45D6F8CF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D0-4524-BD6C-49FB45D6F8CF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D0-4524-BD6C-49FB45D6F8CF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D0-4524-BD6C-49FB45D6F8CF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D0-4524-BD6C-49FB45D6F8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 Data'!$A$3:$A$6</c:f>
              <c:strCache>
                <c:ptCount val="4"/>
                <c:pt idx="0">
                  <c:v>Regular</c:v>
                </c:pt>
                <c:pt idx="1">
                  <c:v>Loyal</c:v>
                </c:pt>
                <c:pt idx="2">
                  <c:v>High Loyalty</c:v>
                </c:pt>
                <c:pt idx="3">
                  <c:v>New</c:v>
                </c:pt>
              </c:strCache>
            </c:strRef>
          </c:cat>
          <c:val>
            <c:numRef>
              <c:f>'Segment  Data'!$B$3:$B$6</c:f>
              <c:numCache>
                <c:formatCode>General</c:formatCode>
                <c:ptCount val="4"/>
                <c:pt idx="0">
                  <c:v>21</c:v>
                </c:pt>
                <c:pt idx="1">
                  <c:v>17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D0-4524-BD6C-49FB45D6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zero"/>
    <c:showDLblsOverMax val="1"/>
  </c:chart>
  <c:spPr>
    <a:solidFill>
      <a:srgbClr val="FFFFFF"/>
    </a:solidFill>
    <a:ln w="0">
      <a:noFill/>
    </a:ln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Total Revenue by City</a:t>
            </a:r>
          </a:p>
        </c:rich>
      </c:tx>
      <c:layout>
        <c:manualLayout>
          <c:xMode val="edge"/>
          <c:yMode val="edge"/>
          <c:x val="0.371899979503997"/>
          <c:y val="5.351401010565000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89444017423"/>
          <c:y val="0.145662659826966"/>
          <c:w val="0.62761977965667404"/>
          <c:h val="0.72008268892121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Analysis'!$B$2</c:f>
              <c:strCache>
                <c:ptCount val="1"/>
                <c:pt idx="0">
                  <c:v>Total Revenue(₹)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'City Analysis'!$A$3:$A$6</c:f>
              <c:strCache>
                <c:ptCount val="4"/>
                <c:pt idx="0">
                  <c:v>Mumbai</c:v>
                </c:pt>
                <c:pt idx="1">
                  <c:v>Bangalore</c:v>
                </c:pt>
                <c:pt idx="2">
                  <c:v>Hyderabad</c:v>
                </c:pt>
                <c:pt idx="3">
                  <c:v>Chennai</c:v>
                </c:pt>
              </c:strCache>
            </c:strRef>
          </c:cat>
          <c:val>
            <c:numRef>
              <c:f>'City Analysis'!$B$3:$B$6</c:f>
              <c:numCache>
                <c:formatCode>[$₹-44A]#,##0.00;[Red]\-[$₹-44A]#,##0.00</c:formatCode>
                <c:ptCount val="4"/>
                <c:pt idx="0">
                  <c:v>32100</c:v>
                </c:pt>
                <c:pt idx="1">
                  <c:v>31500</c:v>
                </c:pt>
                <c:pt idx="2">
                  <c:v>27200</c:v>
                </c:pt>
                <c:pt idx="3">
                  <c:v>21100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E-47FA-B3F8-688E9A12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253666"/>
        <c:axId val="3995036"/>
      </c:barChart>
      <c:catAx>
        <c:axId val="9253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3995036"/>
        <c:crosses val="autoZero"/>
        <c:auto val="1"/>
        <c:lblAlgn val="ctr"/>
        <c:lblOffset val="100"/>
        <c:noMultiLvlLbl val="0"/>
      </c:catAx>
      <c:valAx>
        <c:axId val="3995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Revenue(₹)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4A]#,##0.00;[Red]\-[$₹-44A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92536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0">
      <a:noFill/>
    </a:ln>
  </c:spPr>
  <c:txPr>
    <a:bodyPr/>
    <a:lstStyle/>
    <a:p>
      <a:pPr>
        <a:defRPr sz="10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IN"/>
              <a:t>Revenue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Analysis'!$C$10</c:f>
              <c:strCache>
                <c:ptCount val="1"/>
                <c:pt idx="0">
                  <c:v>₹24,900</c:v>
                </c:pt>
              </c:strCache>
            </c:strRef>
          </c:tx>
          <c:spPr>
            <a:solidFill>
              <a:srgbClr val="004D7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'Gender Analysis'!$A$10:$A$14</c:f>
              <c:strCache>
                <c:ptCount val="5"/>
                <c:pt idx="0">
                  <c:v>18-25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40+</c:v>
                </c:pt>
              </c:strCache>
            </c:strRef>
          </c:cat>
          <c:val>
            <c:numRef>
              <c:f>'Gender Analysis'!$C$10:$C$14</c:f>
              <c:numCache>
                <c:formatCode>[$₹-44A]#,##0;[Red]\-[$₹-44A]#,##0</c:formatCode>
                <c:ptCount val="5"/>
                <c:pt idx="0">
                  <c:v>24900</c:v>
                </c:pt>
                <c:pt idx="1">
                  <c:v>44000</c:v>
                </c:pt>
                <c:pt idx="2">
                  <c:v>27400</c:v>
                </c:pt>
                <c:pt idx="3">
                  <c:v>10900</c:v>
                </c:pt>
                <c:pt idx="4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6-441C-BEC7-9ED7CB072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722633"/>
        <c:axId val="12820319"/>
      </c:barChart>
      <c:catAx>
        <c:axId val="82722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12820319"/>
        <c:crosses val="autoZero"/>
        <c:auto val="1"/>
        <c:lblAlgn val="ctr"/>
        <c:lblOffset val="100"/>
        <c:noMultiLvlLbl val="0"/>
      </c:catAx>
      <c:valAx>
        <c:axId val="12820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Revenue(₹)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4A]#,##0;[Red]\-[$₹-44A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827226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0">
      <a:noFill/>
    </a:ln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389520</xdr:colOff>
      <xdr:row>9</xdr:row>
      <xdr:rowOff>52200</xdr:rowOff>
    </xdr:from>
    <xdr:to>
      <xdr:col>7</xdr:col>
      <xdr:colOff>485999</xdr:colOff>
      <xdr:row>29</xdr:row>
      <xdr:rowOff>40681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330496</xdr:colOff>
      <xdr:row>10</xdr:row>
      <xdr:rowOff>150443</xdr:rowOff>
    </xdr:from>
    <xdr:to>
      <xdr:col>5</xdr:col>
      <xdr:colOff>763936</xdr:colOff>
      <xdr:row>39</xdr:row>
      <xdr:rowOff>138203</xdr:rowOff>
    </xdr:to>
    <xdr:graphicFrame macro="">
      <xdr:nvGraphicFramePr>
        <xdr:cNvPr id="2" name="Total Revenue by C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348840</xdr:colOff>
      <xdr:row>4</xdr:row>
      <xdr:rowOff>4680</xdr:rowOff>
    </xdr:from>
    <xdr:to>
      <xdr:col>11</xdr:col>
      <xdr:colOff>420120</xdr:colOff>
      <xdr:row>20</xdr:row>
      <xdr:rowOff>149822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3" xr:uid="{00000000-000A-0000-FFFF-FFFF01000000}">
  <cacheSource type="worksheet">
    <worksheetSource ref="A2:I55" sheet="Raw Data"/>
  </cacheSource>
  <cacheFields count="9">
    <cacheField name="Customer_ID" numFmtId="0">
      <sharedItems containsSemiMixedTypes="0" containsString="0" containsNumber="1" containsInteger="1" minValue="101" maxValue="154" count="53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2"/>
        <n v="153"/>
        <n v="154"/>
      </sharedItems>
    </cacheField>
    <cacheField name="Customer Name" numFmtId="0">
      <sharedItems count="52">
        <s v="Ajay"/>
        <s v="Anil"/>
        <s v="Anjali"/>
        <s v="Anu"/>
        <s v="Aravind"/>
        <s v="Arjun"/>
        <s v="Asha"/>
        <s v="Bindu"/>
        <s v="Deepa"/>
        <s v="Deepak"/>
        <s v="Divya"/>
        <s v="Geetha"/>
        <s v="Gopi"/>
        <s v="Harsha"/>
        <s v="Hema"/>
        <s v="Karthik"/>
        <s v="Kavya"/>
        <s v="Keerthi"/>
        <s v="Kiran"/>
        <s v="Kishore"/>
        <s v="Lakshmi"/>
        <s v="Latha"/>
        <s v="Mahesh"/>
        <s v="Manoj"/>
        <s v="Meena"/>
        <s v="Murali"/>
        <s v="Naresh"/>
        <s v="Naveen"/>
        <s v="Neha"/>
        <s v="Nisha"/>
        <s v="Pooja"/>
        <s v="Prakash"/>
        <s v="Praveen"/>
        <s v="Priya"/>
        <s v="Raghu"/>
        <s v="Rahul"/>
        <s v="Rajesh"/>
        <s v="Ramesh"/>
        <s v="Ravi"/>
        <s v="Rekha"/>
        <s v="Santosh"/>
        <s v="Shilpa"/>
        <s v="Sita"/>
        <s v="Sneha"/>
        <s v="Sravya"/>
        <s v="Sunil"/>
        <s v="Suresh"/>
        <s v="Swathi"/>
        <s v="Teja"/>
        <s v="Unknown"/>
        <s v="Venu"/>
        <s v="Vikram"/>
      </sharedItems>
    </cacheField>
    <cacheField name="Age" numFmtId="0">
      <sharedItems containsSemiMixedTypes="0" containsString="0" containsNumber="1" containsInteger="1" minValue="21" maxValue="45" count="23"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5"/>
      </sharedItems>
    </cacheField>
    <cacheField name="Gender" numFmtId="0">
      <sharedItems count="2">
        <s v="Female"/>
        <s v="Male"/>
      </sharedItems>
    </cacheField>
    <cacheField name="City" numFmtId="0">
      <sharedItems count="4">
        <s v="Bangalore"/>
        <s v="Chennai"/>
        <s v="Hyderabad"/>
        <s v="Mumbai"/>
      </sharedItems>
    </cacheField>
    <cacheField name="Purchase Amount" numFmtId="0">
      <sharedItems containsSemiMixedTypes="0" containsString="0" containsNumber="1" containsInteger="1" minValue="700" maxValue="3600" count="29">
        <n v="700"/>
        <n v="800"/>
        <n v="900"/>
        <n v="1100"/>
        <n v="1200"/>
        <n v="1300"/>
        <n v="1400"/>
        <n v="1500"/>
        <n v="1600"/>
        <n v="1700"/>
        <n v="1800"/>
        <n v="1900"/>
        <n v="2000"/>
        <n v="2100"/>
        <n v="2200"/>
        <n v="2300"/>
        <n v="2400"/>
        <n v="2500"/>
        <n v="2600"/>
        <n v="2700"/>
        <n v="2800"/>
        <n v="2900"/>
        <n v="3000"/>
        <n v="3100"/>
        <n v="3200"/>
        <n v="3300"/>
        <n v="3400"/>
        <n v="3500"/>
        <n v="3600"/>
      </sharedItems>
    </cacheField>
    <cacheField name="Order Count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ustomer Segment" numFmtId="0">
      <sharedItems count="4">
        <s v="High Loyalty"/>
        <s v="Loyal"/>
        <s v="New"/>
        <s v="Regular"/>
      </sharedItems>
    </cacheField>
    <cacheField name="Age Group" numFmtId="0">
      <sharedItems count="5">
        <s v="18-25"/>
        <s v="26-30"/>
        <s v="31-35"/>
        <s v="36-40"/>
        <s v="4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x v="0"/>
    <x v="38"/>
    <x v="4"/>
    <x v="1"/>
    <x v="2"/>
    <x v="4"/>
    <x v="2"/>
    <x v="3"/>
    <x v="4"/>
  </r>
  <r>
    <x v="1"/>
    <x v="42"/>
    <x v="9"/>
    <x v="0"/>
    <x v="0"/>
    <x v="17"/>
    <x v="4"/>
    <x v="3"/>
    <x v="0"/>
  </r>
  <r>
    <x v="2"/>
    <x v="5"/>
    <x v="1"/>
    <x v="1"/>
    <x v="1"/>
    <x v="1"/>
    <x v="1"/>
    <x v="1"/>
    <x v="1"/>
  </r>
  <r>
    <x v="3"/>
    <x v="33"/>
    <x v="7"/>
    <x v="0"/>
    <x v="2"/>
    <x v="22"/>
    <x v="5"/>
    <x v="2"/>
    <x v="0"/>
  </r>
  <r>
    <x v="4"/>
    <x v="18"/>
    <x v="14"/>
    <x v="1"/>
    <x v="3"/>
    <x v="7"/>
    <x v="3"/>
    <x v="1"/>
    <x v="1"/>
  </r>
  <r>
    <x v="5"/>
    <x v="2"/>
    <x v="6"/>
    <x v="0"/>
    <x v="0"/>
    <x v="14"/>
    <x v="4"/>
    <x v="3"/>
    <x v="2"/>
  </r>
  <r>
    <x v="6"/>
    <x v="35"/>
    <x v="19"/>
    <x v="1"/>
    <x v="1"/>
    <x v="10"/>
    <x v="2"/>
    <x v="1"/>
    <x v="1"/>
  </r>
  <r>
    <x v="7"/>
    <x v="24"/>
    <x v="2"/>
    <x v="0"/>
    <x v="2"/>
    <x v="2"/>
    <x v="1"/>
    <x v="3"/>
    <x v="3"/>
  </r>
  <r>
    <x v="8"/>
    <x v="51"/>
    <x v="10"/>
    <x v="1"/>
    <x v="3"/>
    <x v="19"/>
    <x v="5"/>
    <x v="2"/>
    <x v="0"/>
  </r>
  <r>
    <x v="9"/>
    <x v="10"/>
    <x v="8"/>
    <x v="0"/>
    <x v="0"/>
    <x v="12"/>
    <x v="3"/>
    <x v="1"/>
    <x v="2"/>
  </r>
  <r>
    <x v="10"/>
    <x v="0"/>
    <x v="5"/>
    <x v="1"/>
    <x v="2"/>
    <x v="3"/>
    <x v="2"/>
    <x v="3"/>
    <x v="1"/>
  </r>
  <r>
    <x v="11"/>
    <x v="30"/>
    <x v="11"/>
    <x v="0"/>
    <x v="3"/>
    <x v="18"/>
    <x v="4"/>
    <x v="3"/>
    <x v="1"/>
  </r>
  <r>
    <x v="12"/>
    <x v="23"/>
    <x v="3"/>
    <x v="1"/>
    <x v="1"/>
    <x v="0"/>
    <x v="0"/>
    <x v="1"/>
    <x v="2"/>
  </r>
  <r>
    <x v="13"/>
    <x v="16"/>
    <x v="7"/>
    <x v="0"/>
    <x v="0"/>
    <x v="16"/>
    <x v="4"/>
    <x v="2"/>
    <x v="0"/>
  </r>
  <r>
    <x v="14"/>
    <x v="46"/>
    <x v="17"/>
    <x v="1"/>
    <x v="2"/>
    <x v="24"/>
    <x v="6"/>
    <x v="1"/>
    <x v="1"/>
  </r>
  <r>
    <x v="15"/>
    <x v="28"/>
    <x v="6"/>
    <x v="0"/>
    <x v="1"/>
    <x v="7"/>
    <x v="2"/>
    <x v="0"/>
    <x v="3"/>
  </r>
  <r>
    <x v="16"/>
    <x v="37"/>
    <x v="22"/>
    <x v="1"/>
    <x v="3"/>
    <x v="27"/>
    <x v="7"/>
    <x v="3"/>
    <x v="1"/>
  </r>
  <r>
    <x v="17"/>
    <x v="6"/>
    <x v="0"/>
    <x v="0"/>
    <x v="0"/>
    <x v="2"/>
    <x v="1"/>
    <x v="0"/>
    <x v="4"/>
  </r>
  <r>
    <x v="18"/>
    <x v="9"/>
    <x v="12"/>
    <x v="1"/>
    <x v="2"/>
    <x v="13"/>
    <x v="3"/>
    <x v="2"/>
    <x v="0"/>
  </r>
  <r>
    <x v="19"/>
    <x v="43"/>
    <x v="9"/>
    <x v="0"/>
    <x v="1"/>
    <x v="9"/>
    <x v="2"/>
    <x v="3"/>
    <x v="2"/>
  </r>
  <r>
    <x v="20"/>
    <x v="50"/>
    <x v="15"/>
    <x v="1"/>
    <x v="0"/>
    <x v="20"/>
    <x v="5"/>
    <x v="3"/>
    <x v="1"/>
  </r>
  <r>
    <x v="21"/>
    <x v="47"/>
    <x v="4"/>
    <x v="0"/>
    <x v="2"/>
    <x v="5"/>
    <x v="2"/>
    <x v="1"/>
    <x v="3"/>
  </r>
  <r>
    <x v="22"/>
    <x v="12"/>
    <x v="8"/>
    <x v="1"/>
    <x v="3"/>
    <x v="11"/>
    <x v="3"/>
    <x v="3"/>
    <x v="0"/>
  </r>
  <r>
    <x v="23"/>
    <x v="20"/>
    <x v="13"/>
    <x v="0"/>
    <x v="1"/>
    <x v="13"/>
    <x v="4"/>
    <x v="3"/>
    <x v="1"/>
  </r>
  <r>
    <x v="24"/>
    <x v="27"/>
    <x v="7"/>
    <x v="1"/>
    <x v="0"/>
    <x v="18"/>
    <x v="4"/>
    <x v="1"/>
    <x v="2"/>
  </r>
  <r>
    <x v="25"/>
    <x v="13"/>
    <x v="10"/>
    <x v="0"/>
    <x v="2"/>
    <x v="10"/>
    <x v="3"/>
    <x v="1"/>
    <x v="1"/>
  </r>
  <r>
    <x v="26"/>
    <x v="31"/>
    <x v="18"/>
    <x v="1"/>
    <x v="3"/>
    <x v="22"/>
    <x v="6"/>
    <x v="3"/>
    <x v="2"/>
  </r>
  <r>
    <x v="27"/>
    <x v="17"/>
    <x v="1"/>
    <x v="0"/>
    <x v="1"/>
    <x v="1"/>
    <x v="1"/>
    <x v="0"/>
    <x v="3"/>
  </r>
  <r>
    <x v="28"/>
    <x v="36"/>
    <x v="21"/>
    <x v="1"/>
    <x v="0"/>
    <x v="25"/>
    <x v="7"/>
    <x v="2"/>
    <x v="0"/>
  </r>
  <r>
    <x v="29"/>
    <x v="3"/>
    <x v="5"/>
    <x v="0"/>
    <x v="2"/>
    <x v="6"/>
    <x v="2"/>
    <x v="0"/>
    <x v="4"/>
  </r>
  <r>
    <x v="30"/>
    <x v="15"/>
    <x v="6"/>
    <x v="1"/>
    <x v="1"/>
    <x v="8"/>
    <x v="2"/>
    <x v="3"/>
    <x v="1"/>
  </r>
  <r>
    <x v="31"/>
    <x v="7"/>
    <x v="12"/>
    <x v="0"/>
    <x v="3"/>
    <x v="19"/>
    <x v="5"/>
    <x v="3"/>
    <x v="1"/>
  </r>
  <r>
    <x v="32"/>
    <x v="22"/>
    <x v="14"/>
    <x v="1"/>
    <x v="0"/>
    <x v="21"/>
    <x v="6"/>
    <x v="1"/>
    <x v="2"/>
  </r>
  <r>
    <x v="33"/>
    <x v="39"/>
    <x v="8"/>
    <x v="0"/>
    <x v="2"/>
    <x v="12"/>
    <x v="3"/>
    <x v="0"/>
    <x v="2"/>
  </r>
  <r>
    <x v="34"/>
    <x v="45"/>
    <x v="20"/>
    <x v="1"/>
    <x v="1"/>
    <x v="23"/>
    <x v="6"/>
    <x v="3"/>
    <x v="1"/>
  </r>
  <r>
    <x v="35"/>
    <x v="8"/>
    <x v="3"/>
    <x v="0"/>
    <x v="0"/>
    <x v="4"/>
    <x v="2"/>
    <x v="0"/>
    <x v="4"/>
  </r>
  <r>
    <x v="36"/>
    <x v="34"/>
    <x v="17"/>
    <x v="1"/>
    <x v="3"/>
    <x v="26"/>
    <x v="7"/>
    <x v="3"/>
    <x v="0"/>
  </r>
  <r>
    <x v="37"/>
    <x v="29"/>
    <x v="6"/>
    <x v="0"/>
    <x v="2"/>
    <x v="9"/>
    <x v="2"/>
    <x v="0"/>
    <x v="3"/>
  </r>
  <r>
    <x v="38"/>
    <x v="4"/>
    <x v="9"/>
    <x v="1"/>
    <x v="1"/>
    <x v="14"/>
    <x v="4"/>
    <x v="3"/>
    <x v="1"/>
  </r>
  <r>
    <x v="39"/>
    <x v="41"/>
    <x v="11"/>
    <x v="0"/>
    <x v="0"/>
    <x v="17"/>
    <x v="5"/>
    <x v="1"/>
    <x v="1"/>
  </r>
  <r>
    <x v="40"/>
    <x v="26"/>
    <x v="15"/>
    <x v="1"/>
    <x v="2"/>
    <x v="20"/>
    <x v="5"/>
    <x v="1"/>
    <x v="2"/>
  </r>
  <r>
    <x v="41"/>
    <x v="48"/>
    <x v="2"/>
    <x v="0"/>
    <x v="1"/>
    <x v="2"/>
    <x v="1"/>
    <x v="1"/>
    <x v="3"/>
  </r>
  <r>
    <x v="42"/>
    <x v="19"/>
    <x v="19"/>
    <x v="1"/>
    <x v="3"/>
    <x v="28"/>
    <x v="8"/>
    <x v="2"/>
    <x v="0"/>
  </r>
  <r>
    <x v="43"/>
    <x v="44"/>
    <x v="7"/>
    <x v="0"/>
    <x v="0"/>
    <x v="15"/>
    <x v="4"/>
    <x v="0"/>
    <x v="3"/>
  </r>
  <r>
    <x v="44"/>
    <x v="25"/>
    <x v="13"/>
    <x v="1"/>
    <x v="2"/>
    <x v="18"/>
    <x v="5"/>
    <x v="1"/>
    <x v="1"/>
  </r>
  <r>
    <x v="45"/>
    <x v="14"/>
    <x v="10"/>
    <x v="0"/>
    <x v="1"/>
    <x v="12"/>
    <x v="3"/>
    <x v="1"/>
    <x v="2"/>
  </r>
  <r>
    <x v="46"/>
    <x v="40"/>
    <x v="16"/>
    <x v="1"/>
    <x v="3"/>
    <x v="23"/>
    <x v="6"/>
    <x v="3"/>
    <x v="2"/>
  </r>
  <r>
    <x v="47"/>
    <x v="21"/>
    <x v="5"/>
    <x v="0"/>
    <x v="0"/>
    <x v="7"/>
    <x v="2"/>
    <x v="0"/>
    <x v="3"/>
  </r>
  <r>
    <x v="48"/>
    <x v="32"/>
    <x v="8"/>
    <x v="1"/>
    <x v="2"/>
    <x v="13"/>
    <x v="4"/>
    <x v="3"/>
    <x v="1"/>
  </r>
  <r>
    <x v="49"/>
    <x v="11"/>
    <x v="12"/>
    <x v="0"/>
    <x v="1"/>
    <x v="11"/>
    <x v="3"/>
    <x v="1"/>
    <x v="1"/>
  </r>
  <r>
    <x v="50"/>
    <x v="49"/>
    <x v="7"/>
    <x v="0"/>
    <x v="0"/>
    <x v="16"/>
    <x v="4"/>
    <x v="3"/>
    <x v="2"/>
  </r>
  <r>
    <x v="51"/>
    <x v="1"/>
    <x v="9"/>
    <x v="1"/>
    <x v="3"/>
    <x v="12"/>
    <x v="3"/>
    <x v="1"/>
    <x v="1"/>
  </r>
  <r>
    <x v="52"/>
    <x v="18"/>
    <x v="14"/>
    <x v="1"/>
    <x v="3"/>
    <x v="13"/>
    <x v="3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ataPilot1" cacheId="0" applyNumberFormats="0" applyBorderFormats="0" applyFontFormats="0" applyPatternFormats="0" applyAlignmentFormats="0" applyWidthHeightFormats="0" dataCaption="Values" showDrill="0" itemPrintTitles="1" indent="0" compact="0" compactData="0">
  <location ref="J18:M25" firstHeaderRow="1" firstDataRow="2" firstDataCol="1"/>
  <pivotFields count="9">
    <pivotField dataField="1" compact="0" outline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 v="1048832"/>
    </i>
  </rowItems>
  <colFields count="1">
    <field x="-2"/>
  </colFields>
  <colItems count="1">
    <i t="grand">
      <x/>
    </i>
  </colItems>
  <dataFields count="3">
    <dataField name="Count - Customer_ID" fld="0" subtotal="count" baseField="0" baseItem="0"/>
    <dataField name="Sum - Purchase Amount" fld="5" baseField="0" baseItem="0" numFmtId="164"/>
    <dataField name="Average - Purchase Amount*" fld="5" subtotal="average" baseField="0" baseItem="0" numFmtId="164"/>
  </dataFields>
  <formats count="35">
    <format dxfId="46">
      <pivotArea field="-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5">
      <pivotArea field="-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">
      <pivotArea field="-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3">
      <pivotArea type="origin" dataOnly="0" labelOnly="1" outline="0" fieldPosition="0"/>
    </format>
    <format dxfId="42">
      <pivotArea field="8" type="button" dataOnly="0" labelOnly="1" outline="0" axis="axisRow" fieldPosition="0"/>
    </format>
    <format dxfId="41">
      <pivotArea dataOnly="0" labelOnly="1" outline="0" fieldPosition="0">
        <references count="1">
          <reference field="8" count="0"/>
        </references>
      </pivotArea>
    </format>
    <format dxfId="40">
      <pivotArea outline="0" fieldPosition="0">
        <references count="1">
          <reference field="8" count="1" selected="0">
            <x v="4"/>
          </reference>
        </references>
      </pivotArea>
    </format>
    <format dxfId="39">
      <pivotArea field="-2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-2" type="button" dataOnly="0" labelOnly="1" outline="0" axis="axisCol" fieldPosition="0"/>
    </format>
    <format dxfId="36">
      <pivotArea type="topRight" dataOnly="0" labelOnly="1" outline="0" fieldPosition="0"/>
    </format>
    <format dxfId="35">
      <pivotArea type="all" dataOnly="0" outline="0" fieldPosition="0"/>
    </format>
    <format dxfId="34">
      <pivotArea outline="0" fieldPosition="0"/>
    </format>
    <format dxfId="33">
      <pivotArea type="origin" dataOnly="0" labelOnly="1" outline="0" fieldPosition="0"/>
    </format>
    <format dxfId="32">
      <pivotArea field="-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8" type="button" dataOnly="0" labelOnly="1" outline="0" axis="axisRow" fieldPosition="0"/>
    </format>
    <format dxfId="29">
      <pivotArea dataOnly="0" labelOnly="1" outline="0" fieldPosition="0">
        <references count="1">
          <reference field="8" count="0"/>
        </references>
      </pivotArea>
    </format>
    <format dxfId="28">
      <pivotArea dataOnly="0" labelOnly="1" grandRow="1" outline="0" fieldPosition="0"/>
    </format>
    <format dxfId="27">
      <pivotArea field="-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">
      <pivotArea field="-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">
      <pivotArea field="-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3">
      <pivotArea field="-2" type="button" dataOnly="0" labelOnly="1" outline="0" axis="axisCol" fieldPosition="0"/>
    </format>
    <format dxfId="22">
      <pivotArea type="topRight" dataOnly="0" labelOnly="1" outline="0" fieldPosition="0"/>
    </format>
    <format dxfId="21">
      <pivotArea type="all" dataOnly="0" outline="0" fieldPosition="0"/>
    </format>
    <format dxfId="9">
      <pivotArea outline="0" fieldPosition="0"/>
    </format>
    <format dxfId="8">
      <pivotArea type="origin" dataOnly="0" labelOnly="1" outline="0" fieldPosition="0"/>
    </format>
    <format dxfId="7">
      <pivotArea field="-2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8" type="button" dataOnly="0" labelOnly="1" outline="0" axis="axisRow" fieldPosition="0"/>
    </format>
    <format dxfId="4">
      <pivotArea dataOnly="0" labelOnly="1" outline="0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field="-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">
      <pivotArea field="-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0">
      <pivotArea field="-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7CEEB"/>
  </sheetPr>
  <dimension ref="A1:T35"/>
  <sheetViews>
    <sheetView zoomScale="58" zoomScaleNormal="45" workbookViewId="0">
      <selection activeCell="F19" sqref="F19"/>
    </sheetView>
  </sheetViews>
  <sheetFormatPr defaultColWidth="11.54296875" defaultRowHeight="12.5" x14ac:dyDescent="0.25"/>
  <cols>
    <col min="1" max="1" width="15.90625" customWidth="1"/>
    <col min="2" max="2" width="15.26953125" customWidth="1"/>
    <col min="3" max="3" width="19.7265625" customWidth="1"/>
    <col min="4" max="4" width="20.08984375" customWidth="1"/>
    <col min="10" max="10" width="17.7265625" customWidth="1"/>
    <col min="11" max="11" width="21.81640625" customWidth="1"/>
    <col min="12" max="12" width="24.1796875" customWidth="1"/>
    <col min="13" max="13" width="15" customWidth="1"/>
    <col min="14" max="14" width="15.54296875" customWidth="1"/>
  </cols>
  <sheetData>
    <row r="1" spans="1:20" ht="29.15" customHeight="1" x14ac:dyDescent="0.3">
      <c r="A1" s="33" t="s">
        <v>115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"/>
    </row>
    <row r="2" spans="1:20" ht="12.5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"/>
    </row>
    <row r="3" spans="1:20" ht="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1" x14ac:dyDescent="0.5">
      <c r="A4" s="5" t="s">
        <v>0</v>
      </c>
      <c r="B4" s="5"/>
      <c r="C4" s="5"/>
      <c r="D4" s="5"/>
      <c r="E4" s="6"/>
      <c r="F4" s="7" t="s">
        <v>1</v>
      </c>
      <c r="G4" s="7"/>
      <c r="H4" s="7"/>
      <c r="I4" s="7"/>
      <c r="J4" s="6"/>
      <c r="K4" s="8" t="s">
        <v>2</v>
      </c>
      <c r="L4" s="8"/>
      <c r="M4" s="8"/>
      <c r="N4" s="8"/>
      <c r="O4" s="6"/>
      <c r="P4" s="9" t="s">
        <v>3</v>
      </c>
      <c r="Q4" s="9"/>
      <c r="R4" s="9"/>
      <c r="S4" s="9"/>
      <c r="T4" s="6"/>
    </row>
    <row r="5" spans="1:20" ht="21" x14ac:dyDescent="0.5">
      <c r="A5" s="10">
        <f>SUM('Raw Data'!F:F)</f>
        <v>111900</v>
      </c>
      <c r="B5" s="10"/>
      <c r="C5" s="10"/>
      <c r="D5" s="10"/>
      <c r="E5" s="6"/>
      <c r="F5" s="11">
        <f>COUNTA('Raw Data'!A2:A54)</f>
        <v>53</v>
      </c>
      <c r="G5" s="11"/>
      <c r="H5" s="11"/>
      <c r="I5" s="11"/>
      <c r="J5" s="6"/>
      <c r="K5" s="12">
        <f>AVERAGE('Raw Data'!F2:F54)</f>
        <v>2111.5384615384614</v>
      </c>
      <c r="L5" s="12"/>
      <c r="M5" s="12"/>
      <c r="N5" s="12"/>
      <c r="O5" s="6"/>
      <c r="P5" s="13">
        <f>AVERAGE('Raw Data'!G2:G54)</f>
        <v>4.615384615384615</v>
      </c>
      <c r="Q5" s="13"/>
      <c r="R5" s="13"/>
      <c r="S5" s="13"/>
      <c r="T5" s="6"/>
    </row>
    <row r="6" spans="1:20" ht="21" x14ac:dyDescent="0.5">
      <c r="A6" s="10"/>
      <c r="B6" s="10"/>
      <c r="C6" s="10"/>
      <c r="D6" s="10"/>
      <c r="E6" s="6"/>
      <c r="F6" s="11"/>
      <c r="G6" s="11"/>
      <c r="H6" s="11"/>
      <c r="I6" s="11"/>
      <c r="J6" s="6"/>
      <c r="K6" s="12"/>
      <c r="L6" s="12"/>
      <c r="M6" s="12"/>
      <c r="N6" s="12"/>
      <c r="O6" s="6"/>
      <c r="P6" s="13"/>
      <c r="Q6" s="13"/>
      <c r="R6" s="13"/>
      <c r="S6" s="13"/>
      <c r="T6" s="6"/>
    </row>
    <row r="7" spans="1:20" ht="21" x14ac:dyDescent="0.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21" x14ac:dyDescent="0.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1" x14ac:dyDescent="0.5">
      <c r="A9" s="14" t="s">
        <v>4</v>
      </c>
      <c r="B9" s="15"/>
      <c r="C9" s="15"/>
      <c r="D9" s="16"/>
      <c r="E9" s="17"/>
      <c r="F9" s="17"/>
      <c r="G9" s="17"/>
      <c r="H9" s="17"/>
      <c r="I9" s="17"/>
      <c r="J9" s="6"/>
      <c r="K9" s="14" t="s">
        <v>5</v>
      </c>
      <c r="L9" s="15"/>
      <c r="M9" s="15"/>
      <c r="N9" s="15"/>
      <c r="O9" s="18"/>
      <c r="P9" s="18"/>
      <c r="Q9" s="18"/>
      <c r="R9" s="18"/>
      <c r="S9" s="18"/>
      <c r="T9" s="6"/>
    </row>
    <row r="10" spans="1:20" ht="21" x14ac:dyDescent="0.5">
      <c r="A10" s="19" t="s">
        <v>6</v>
      </c>
      <c r="B10" s="20" t="s">
        <v>7</v>
      </c>
      <c r="C10" s="20" t="s">
        <v>8</v>
      </c>
      <c r="D10" s="20" t="s">
        <v>9</v>
      </c>
      <c r="E10" s="6"/>
      <c r="F10" s="6"/>
      <c r="G10" s="6"/>
      <c r="H10" s="6"/>
      <c r="I10" s="6"/>
      <c r="J10" s="6"/>
      <c r="K10" s="19" t="s">
        <v>10</v>
      </c>
      <c r="L10" s="20" t="s">
        <v>7</v>
      </c>
      <c r="M10" s="20" t="s">
        <v>8</v>
      </c>
      <c r="N10" s="20" t="s">
        <v>11</v>
      </c>
      <c r="O10" s="6"/>
      <c r="P10" s="6"/>
      <c r="Q10" s="6"/>
      <c r="R10" s="6"/>
      <c r="S10" s="6"/>
      <c r="T10" s="6"/>
    </row>
    <row r="11" spans="1:20" ht="21" x14ac:dyDescent="0.5">
      <c r="A11" s="21" t="s">
        <v>12</v>
      </c>
      <c r="B11" s="22">
        <v>12</v>
      </c>
      <c r="C11" s="23">
        <v>32100</v>
      </c>
      <c r="D11" s="23">
        <v>2675</v>
      </c>
      <c r="E11" s="6"/>
      <c r="F11" s="6"/>
      <c r="G11" s="6"/>
      <c r="H11" s="6"/>
      <c r="I11" s="6"/>
      <c r="J11" s="6"/>
      <c r="K11" s="21" t="s">
        <v>13</v>
      </c>
      <c r="L11" s="22">
        <v>27</v>
      </c>
      <c r="M11" s="24">
        <v>63700</v>
      </c>
      <c r="N11" s="25">
        <v>5.2592592592592604</v>
      </c>
      <c r="O11" s="6"/>
      <c r="P11" s="6"/>
      <c r="Q11" s="6"/>
      <c r="R11" s="6"/>
      <c r="S11" s="6"/>
      <c r="T11" s="6"/>
    </row>
    <row r="12" spans="1:20" ht="21" x14ac:dyDescent="0.5">
      <c r="A12" s="21" t="s">
        <v>14</v>
      </c>
      <c r="B12" s="22">
        <v>14</v>
      </c>
      <c r="C12" s="23">
        <v>31500</v>
      </c>
      <c r="D12" s="23">
        <v>2250</v>
      </c>
      <c r="E12" s="6"/>
      <c r="F12" s="6"/>
      <c r="G12" s="6"/>
      <c r="H12" s="6"/>
      <c r="I12" s="6"/>
      <c r="J12" s="6"/>
      <c r="K12" s="21" t="s">
        <v>15</v>
      </c>
      <c r="L12" s="22">
        <v>26</v>
      </c>
      <c r="M12" s="24">
        <v>48200</v>
      </c>
      <c r="N12" s="25">
        <v>3.9230769230769198</v>
      </c>
      <c r="O12" s="6"/>
      <c r="P12" s="6"/>
      <c r="Q12" s="6"/>
      <c r="R12" s="6"/>
      <c r="S12" s="6"/>
      <c r="T12" s="6"/>
    </row>
    <row r="13" spans="1:20" ht="21" x14ac:dyDescent="0.5">
      <c r="A13" s="21" t="s">
        <v>16</v>
      </c>
      <c r="B13" s="22">
        <v>14</v>
      </c>
      <c r="C13" s="23">
        <v>27200</v>
      </c>
      <c r="D13" s="23">
        <v>1942.8571428571399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21" x14ac:dyDescent="0.5">
      <c r="A14" s="21" t="s">
        <v>17</v>
      </c>
      <c r="B14" s="22">
        <v>13</v>
      </c>
      <c r="C14" s="23">
        <v>21100</v>
      </c>
      <c r="D14" s="23">
        <v>1623.0769230769199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21" x14ac:dyDescent="0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21" x14ac:dyDescent="0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21" x14ac:dyDescent="0.5">
      <c r="A17" s="14" t="s">
        <v>18</v>
      </c>
      <c r="B17" s="15"/>
      <c r="C17" s="15"/>
      <c r="D17" s="15"/>
      <c r="E17" s="18"/>
      <c r="F17" s="18"/>
      <c r="G17" s="18"/>
      <c r="H17" s="18"/>
      <c r="I17" s="18"/>
      <c r="J17" s="6"/>
      <c r="K17" s="14" t="s">
        <v>19</v>
      </c>
      <c r="L17" s="15"/>
      <c r="M17" s="15"/>
      <c r="N17" s="15"/>
      <c r="O17" s="18"/>
      <c r="P17" s="18"/>
      <c r="Q17" s="18"/>
      <c r="R17" s="18"/>
      <c r="S17" s="18"/>
      <c r="T17" s="6"/>
    </row>
    <row r="18" spans="1:20" ht="21" x14ac:dyDescent="0.5">
      <c r="A18" s="19" t="s">
        <v>20</v>
      </c>
      <c r="B18" s="20" t="s">
        <v>21</v>
      </c>
      <c r="C18" s="20" t="s">
        <v>8</v>
      </c>
      <c r="D18" s="20" t="s">
        <v>11</v>
      </c>
      <c r="E18" s="6"/>
      <c r="F18" s="6"/>
      <c r="G18" s="6"/>
      <c r="H18" s="6"/>
      <c r="I18" s="6"/>
      <c r="J18" s="26"/>
      <c r="K18" s="19" t="s">
        <v>22</v>
      </c>
      <c r="L18" s="20" t="s">
        <v>23</v>
      </c>
      <c r="M18" s="20" t="s">
        <v>8</v>
      </c>
      <c r="N18" s="20" t="s">
        <v>9</v>
      </c>
      <c r="O18" s="6"/>
      <c r="P18" s="6"/>
      <c r="Q18" s="6"/>
      <c r="R18" s="6"/>
      <c r="S18" s="6"/>
      <c r="T18" s="6"/>
    </row>
    <row r="19" spans="1:20" ht="21" x14ac:dyDescent="0.5">
      <c r="A19" s="21" t="s">
        <v>24</v>
      </c>
      <c r="B19" s="22">
        <v>21</v>
      </c>
      <c r="C19" s="24">
        <v>48200</v>
      </c>
      <c r="D19" s="25">
        <v>5.0476190476190501</v>
      </c>
      <c r="E19" s="6"/>
      <c r="F19" s="6"/>
      <c r="G19" s="6"/>
      <c r="H19" s="6"/>
      <c r="I19" s="6"/>
      <c r="J19" s="26"/>
      <c r="K19" s="27" t="s">
        <v>25</v>
      </c>
      <c r="L19" s="28">
        <v>9</v>
      </c>
      <c r="M19" s="29">
        <v>24900</v>
      </c>
      <c r="N19" s="24">
        <v>2766.6666666666702</v>
      </c>
      <c r="O19" s="6"/>
      <c r="P19" s="6"/>
      <c r="Q19" s="6"/>
      <c r="R19" s="6"/>
      <c r="S19" s="6"/>
      <c r="T19" s="6"/>
    </row>
    <row r="20" spans="1:20" ht="21" x14ac:dyDescent="0.5">
      <c r="A20" s="21" t="s">
        <v>26</v>
      </c>
      <c r="B20" s="22">
        <v>17</v>
      </c>
      <c r="C20" s="24">
        <v>33300</v>
      </c>
      <c r="D20" s="25">
        <v>4.2352941176470598</v>
      </c>
      <c r="E20" s="6"/>
      <c r="F20" s="6"/>
      <c r="G20" s="6"/>
      <c r="H20" s="6"/>
      <c r="I20" s="6"/>
      <c r="J20" s="26"/>
      <c r="K20" s="21" t="s">
        <v>27</v>
      </c>
      <c r="L20" s="22">
        <v>20</v>
      </c>
      <c r="M20" s="24">
        <v>44000</v>
      </c>
      <c r="N20" s="24">
        <v>2200</v>
      </c>
      <c r="O20" s="6"/>
      <c r="P20" s="6"/>
      <c r="Q20" s="6"/>
      <c r="R20" s="6"/>
      <c r="S20" s="6"/>
      <c r="T20" s="6"/>
    </row>
    <row r="21" spans="1:20" ht="21" x14ac:dyDescent="0.5">
      <c r="A21" s="21" t="s">
        <v>28</v>
      </c>
      <c r="B21" s="22">
        <v>6</v>
      </c>
      <c r="C21" s="24">
        <v>17100</v>
      </c>
      <c r="D21" s="25">
        <v>6.3333333333333304</v>
      </c>
      <c r="E21" s="6"/>
      <c r="F21" s="6"/>
      <c r="G21" s="6"/>
      <c r="H21" s="6"/>
      <c r="I21" s="6"/>
      <c r="J21" s="26"/>
      <c r="K21" s="21" t="s">
        <v>29</v>
      </c>
      <c r="L21" s="22">
        <v>12</v>
      </c>
      <c r="M21" s="24">
        <v>27400</v>
      </c>
      <c r="N21" s="24">
        <v>2283.3333333333298</v>
      </c>
      <c r="O21" s="6"/>
      <c r="P21" s="6"/>
      <c r="Q21" s="6"/>
      <c r="R21" s="6"/>
      <c r="S21" s="6"/>
      <c r="T21" s="6"/>
    </row>
    <row r="22" spans="1:20" ht="21" x14ac:dyDescent="0.5">
      <c r="A22" s="21" t="s">
        <v>30</v>
      </c>
      <c r="B22" s="22">
        <v>9</v>
      </c>
      <c r="C22" s="24">
        <v>13300</v>
      </c>
      <c r="D22" s="25">
        <v>3.1111111111111098</v>
      </c>
      <c r="E22" s="6"/>
      <c r="F22" s="6"/>
      <c r="G22" s="6"/>
      <c r="H22" s="6"/>
      <c r="I22" s="6"/>
      <c r="J22" s="26"/>
      <c r="K22" s="21" t="s">
        <v>31</v>
      </c>
      <c r="L22" s="22">
        <v>8</v>
      </c>
      <c r="M22" s="24">
        <v>10900</v>
      </c>
      <c r="N22" s="24">
        <v>1362.5</v>
      </c>
      <c r="O22" s="6"/>
      <c r="P22" s="6"/>
      <c r="Q22" s="6"/>
      <c r="R22" s="6"/>
      <c r="S22" s="6"/>
      <c r="T22" s="6"/>
    </row>
    <row r="23" spans="1:20" ht="21" x14ac:dyDescent="0.5">
      <c r="A23" s="6"/>
      <c r="B23" s="6"/>
      <c r="C23" s="6"/>
      <c r="D23" s="6"/>
      <c r="E23" s="6"/>
      <c r="F23" s="6"/>
      <c r="G23" s="6"/>
      <c r="H23" s="6"/>
      <c r="I23" s="6"/>
      <c r="J23" s="26"/>
      <c r="K23" s="21" t="s">
        <v>32</v>
      </c>
      <c r="L23" s="22">
        <v>4</v>
      </c>
      <c r="M23" s="24">
        <v>4700</v>
      </c>
      <c r="N23" s="24">
        <v>1175</v>
      </c>
      <c r="O23" s="6"/>
      <c r="P23" s="6"/>
      <c r="Q23" s="6"/>
      <c r="R23" s="6"/>
      <c r="S23" s="6"/>
      <c r="T23" s="6"/>
    </row>
    <row r="24" spans="1:20" ht="21" x14ac:dyDescent="0.5">
      <c r="A24" s="6"/>
      <c r="B24" s="6"/>
      <c r="C24" s="6"/>
      <c r="D24" s="6"/>
      <c r="E24" s="6"/>
      <c r="F24" s="6"/>
      <c r="G24" s="6"/>
      <c r="H24" s="6"/>
      <c r="I24" s="6"/>
      <c r="J24" s="26"/>
      <c r="K24" s="26"/>
      <c r="L24" s="26"/>
      <c r="M24" s="26"/>
      <c r="N24" s="6"/>
      <c r="O24" s="6"/>
      <c r="P24" s="6"/>
      <c r="Q24" s="6"/>
      <c r="R24" s="6"/>
      <c r="S24" s="6"/>
      <c r="T24" s="6"/>
    </row>
    <row r="25" spans="1:20" ht="21.5" thickBot="1" x14ac:dyDescent="0.3">
      <c r="A25" s="30" t="s">
        <v>33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ht="21" x14ac:dyDescent="0.25">
      <c r="A26" s="31" t="s">
        <v>34</v>
      </c>
      <c r="B26" s="31"/>
      <c r="C26" s="31"/>
      <c r="D26" s="31"/>
      <c r="E26" s="31"/>
      <c r="F26" s="31" t="s">
        <v>35</v>
      </c>
      <c r="G26" s="31"/>
      <c r="H26" s="31"/>
      <c r="I26" s="31"/>
      <c r="J26" s="31"/>
      <c r="K26" s="31" t="s">
        <v>36</v>
      </c>
      <c r="L26" s="31"/>
      <c r="M26" s="31"/>
      <c r="N26" s="31"/>
      <c r="O26" s="31"/>
      <c r="P26" s="31" t="s">
        <v>37</v>
      </c>
      <c r="Q26" s="31"/>
      <c r="R26" s="31"/>
      <c r="S26" s="31"/>
      <c r="T26" s="31"/>
    </row>
    <row r="27" spans="1:20" ht="12.75" customHeight="1" x14ac:dyDescent="0.25">
      <c r="A27" s="32" t="s">
        <v>38</v>
      </c>
      <c r="B27" s="32"/>
      <c r="C27" s="32"/>
      <c r="D27" s="32"/>
      <c r="E27" s="32"/>
      <c r="F27" s="32" t="s">
        <v>39</v>
      </c>
      <c r="G27" s="32"/>
      <c r="H27" s="32"/>
      <c r="I27" s="32"/>
      <c r="J27" s="32"/>
      <c r="K27" s="32" t="s">
        <v>40</v>
      </c>
      <c r="L27" s="32"/>
      <c r="M27" s="32"/>
      <c r="N27" s="32"/>
      <c r="O27" s="32"/>
      <c r="P27" s="32" t="s">
        <v>41</v>
      </c>
      <c r="Q27" s="32"/>
      <c r="R27" s="32"/>
      <c r="S27" s="32"/>
      <c r="T27" s="32"/>
    </row>
    <row r="28" spans="1:20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ht="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</sheetData>
  <mergeCells count="26">
    <mergeCell ref="P27:T28"/>
    <mergeCell ref="A29:E29"/>
    <mergeCell ref="F29:J29"/>
    <mergeCell ref="K29:O29"/>
    <mergeCell ref="P29:T29"/>
    <mergeCell ref="A17:D17"/>
    <mergeCell ref="K17:N17"/>
    <mergeCell ref="A27:E28"/>
    <mergeCell ref="F27:J28"/>
    <mergeCell ref="K27:O28"/>
    <mergeCell ref="A25:T25"/>
    <mergeCell ref="A26:E26"/>
    <mergeCell ref="F26:J26"/>
    <mergeCell ref="K26:O26"/>
    <mergeCell ref="P26:T26"/>
    <mergeCell ref="A5:D6"/>
    <mergeCell ref="F5:I6"/>
    <mergeCell ref="K5:N6"/>
    <mergeCell ref="P5:S6"/>
    <mergeCell ref="A9:D9"/>
    <mergeCell ref="K9:N9"/>
    <mergeCell ref="A4:D4"/>
    <mergeCell ref="F4:I4"/>
    <mergeCell ref="K4:N4"/>
    <mergeCell ref="P4:S4"/>
    <mergeCell ref="A1:S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K55"/>
  <sheetViews>
    <sheetView zoomScale="95" zoomScaleNormal="100" workbookViewId="0">
      <pane ySplit="2" topLeftCell="A32" activePane="bottomLeft" state="frozen"/>
      <selection pane="bottomLeft" sqref="A1:I55"/>
    </sheetView>
  </sheetViews>
  <sheetFormatPr defaultColWidth="11.54296875" defaultRowHeight="12.5" x14ac:dyDescent="0.25"/>
  <cols>
    <col min="1" max="1" width="25.54296875" customWidth="1"/>
    <col min="2" max="2" width="31.90625" customWidth="1"/>
    <col min="3" max="3" width="11.7265625" customWidth="1"/>
    <col min="5" max="5" width="14.6328125" customWidth="1"/>
    <col min="6" max="6" width="19.26953125" customWidth="1"/>
    <col min="7" max="7" width="19" customWidth="1"/>
    <col min="8" max="8" width="22.81640625" customWidth="1"/>
    <col min="9" max="9" width="18.90625" customWidth="1"/>
  </cols>
  <sheetData>
    <row r="1" spans="1:11" ht="28" customHeight="1" x14ac:dyDescent="0.25">
      <c r="A1" s="4" t="s">
        <v>42</v>
      </c>
      <c r="B1" s="4"/>
      <c r="C1" s="4"/>
      <c r="D1" s="4"/>
      <c r="E1" s="4"/>
      <c r="F1" s="4"/>
      <c r="G1" s="4"/>
      <c r="H1" s="4"/>
      <c r="I1" s="4"/>
    </row>
    <row r="2" spans="1:11" ht="18.5" customHeight="1" x14ac:dyDescent="0.25">
      <c r="A2" s="34" t="s">
        <v>43</v>
      </c>
      <c r="B2" s="34" t="s">
        <v>44</v>
      </c>
      <c r="C2" s="34" t="s">
        <v>45</v>
      </c>
      <c r="D2" s="34" t="s">
        <v>10</v>
      </c>
      <c r="E2" s="34" t="s">
        <v>6</v>
      </c>
      <c r="F2" s="34" t="s">
        <v>46</v>
      </c>
      <c r="G2" s="34" t="s">
        <v>47</v>
      </c>
      <c r="H2" s="34" t="s">
        <v>48</v>
      </c>
      <c r="I2" s="34" t="s">
        <v>22</v>
      </c>
      <c r="K2" s="1"/>
    </row>
    <row r="3" spans="1:11" ht="15.5" x14ac:dyDescent="0.25">
      <c r="A3" s="35">
        <v>101</v>
      </c>
      <c r="B3" s="35" t="s">
        <v>49</v>
      </c>
      <c r="C3" s="35">
        <v>25</v>
      </c>
      <c r="D3" s="35" t="s">
        <v>13</v>
      </c>
      <c r="E3" s="35" t="s">
        <v>16</v>
      </c>
      <c r="F3" s="36">
        <v>1200</v>
      </c>
      <c r="G3" s="35">
        <v>3</v>
      </c>
      <c r="H3" s="35" t="str">
        <f>IF(G3&gt;=7,"High Loyalty",IF(G3&gt;=5,"Loyal",IF(G3&gt;=3,"Regular","New")))</f>
        <v>Regular</v>
      </c>
      <c r="I3" s="35" t="str">
        <f t="shared" ref="I3:I34" si="0">IF(C2&lt;=25,"18-25",IF(C2&lt;=30,"26-30",IF(C2&lt;=35,"31-35",IF(C2&lt;=40,"36-40","40+"))))</f>
        <v>40+</v>
      </c>
    </row>
    <row r="4" spans="1:11" ht="15.5" x14ac:dyDescent="0.25">
      <c r="A4" s="35">
        <v>102</v>
      </c>
      <c r="B4" s="35" t="s">
        <v>50</v>
      </c>
      <c r="C4" s="35">
        <v>30</v>
      </c>
      <c r="D4" s="35" t="s">
        <v>15</v>
      </c>
      <c r="E4" s="35" t="s">
        <v>14</v>
      </c>
      <c r="F4" s="36">
        <v>2500</v>
      </c>
      <c r="G4" s="35">
        <v>5</v>
      </c>
      <c r="H4" s="35" t="str">
        <f t="shared" ref="H4:H35" si="1">IF(G3&gt;=7,"High Loyalty",IF(G3&gt;=5,"Loyal",IF(G3&gt;=3,"Regular","New")))</f>
        <v>Regular</v>
      </c>
      <c r="I4" s="35" t="str">
        <f t="shared" si="0"/>
        <v>18-25</v>
      </c>
    </row>
    <row r="5" spans="1:11" ht="15.5" x14ac:dyDescent="0.25">
      <c r="A5" s="35">
        <v>103</v>
      </c>
      <c r="B5" s="35" t="s">
        <v>51</v>
      </c>
      <c r="C5" s="35">
        <v>22</v>
      </c>
      <c r="D5" s="35" t="s">
        <v>13</v>
      </c>
      <c r="E5" s="35" t="s">
        <v>17</v>
      </c>
      <c r="F5" s="36">
        <v>800</v>
      </c>
      <c r="G5" s="35">
        <v>2</v>
      </c>
      <c r="H5" s="35" t="str">
        <f t="shared" si="1"/>
        <v>Loyal</v>
      </c>
      <c r="I5" s="35" t="str">
        <f t="shared" si="0"/>
        <v>26-30</v>
      </c>
    </row>
    <row r="6" spans="1:11" ht="15.5" x14ac:dyDescent="0.25">
      <c r="A6" s="35">
        <v>104</v>
      </c>
      <c r="B6" s="35" t="s">
        <v>52</v>
      </c>
      <c r="C6" s="35">
        <v>28</v>
      </c>
      <c r="D6" s="35" t="s">
        <v>15</v>
      </c>
      <c r="E6" s="35" t="s">
        <v>16</v>
      </c>
      <c r="F6" s="36">
        <v>3000</v>
      </c>
      <c r="G6" s="35">
        <v>6</v>
      </c>
      <c r="H6" s="35" t="str">
        <f t="shared" si="1"/>
        <v>New</v>
      </c>
      <c r="I6" s="35" t="str">
        <f t="shared" si="0"/>
        <v>18-25</v>
      </c>
    </row>
    <row r="7" spans="1:11" ht="15.5" x14ac:dyDescent="0.25">
      <c r="A7" s="35">
        <v>105</v>
      </c>
      <c r="B7" s="35" t="s">
        <v>53</v>
      </c>
      <c r="C7" s="35">
        <v>35</v>
      </c>
      <c r="D7" s="35" t="s">
        <v>13</v>
      </c>
      <c r="E7" s="35" t="s">
        <v>12</v>
      </c>
      <c r="F7" s="36">
        <v>1500</v>
      </c>
      <c r="G7" s="35">
        <v>4</v>
      </c>
      <c r="H7" s="35" t="str">
        <f t="shared" si="1"/>
        <v>Loyal</v>
      </c>
      <c r="I7" s="35" t="str">
        <f t="shared" si="0"/>
        <v>26-30</v>
      </c>
    </row>
    <row r="8" spans="1:11" ht="15.5" x14ac:dyDescent="0.25">
      <c r="A8" s="35">
        <v>106</v>
      </c>
      <c r="B8" s="35" t="s">
        <v>54</v>
      </c>
      <c r="C8" s="35">
        <v>27</v>
      </c>
      <c r="D8" s="35" t="s">
        <v>15</v>
      </c>
      <c r="E8" s="35" t="s">
        <v>14</v>
      </c>
      <c r="F8" s="36">
        <v>2200</v>
      </c>
      <c r="G8" s="35">
        <v>5</v>
      </c>
      <c r="H8" s="35" t="str">
        <f t="shared" si="1"/>
        <v>Regular</v>
      </c>
      <c r="I8" s="35" t="str">
        <f t="shared" si="0"/>
        <v>31-35</v>
      </c>
    </row>
    <row r="9" spans="1:11" ht="15.5" x14ac:dyDescent="0.25">
      <c r="A9" s="35">
        <v>107</v>
      </c>
      <c r="B9" s="35" t="s">
        <v>55</v>
      </c>
      <c r="C9" s="35">
        <v>40</v>
      </c>
      <c r="D9" s="35" t="s">
        <v>13</v>
      </c>
      <c r="E9" s="35" t="s">
        <v>17</v>
      </c>
      <c r="F9" s="36">
        <v>1800</v>
      </c>
      <c r="G9" s="35">
        <v>3</v>
      </c>
      <c r="H9" s="35" t="str">
        <f t="shared" si="1"/>
        <v>Loyal</v>
      </c>
      <c r="I9" s="35" t="str">
        <f t="shared" si="0"/>
        <v>26-30</v>
      </c>
    </row>
    <row r="10" spans="1:11" ht="15.5" x14ac:dyDescent="0.25">
      <c r="A10" s="35">
        <v>108</v>
      </c>
      <c r="B10" s="35" t="s">
        <v>56</v>
      </c>
      <c r="C10" s="35">
        <v>23</v>
      </c>
      <c r="D10" s="35" t="s">
        <v>15</v>
      </c>
      <c r="E10" s="35" t="s">
        <v>16</v>
      </c>
      <c r="F10" s="36">
        <v>900</v>
      </c>
      <c r="G10" s="35">
        <v>2</v>
      </c>
      <c r="H10" s="35" t="str">
        <f t="shared" si="1"/>
        <v>Regular</v>
      </c>
      <c r="I10" s="35" t="str">
        <f t="shared" si="0"/>
        <v>36-40</v>
      </c>
    </row>
    <row r="11" spans="1:11" ht="15.5" x14ac:dyDescent="0.25">
      <c r="A11" s="35">
        <v>109</v>
      </c>
      <c r="B11" s="35" t="s">
        <v>57</v>
      </c>
      <c r="C11" s="35">
        <v>31</v>
      </c>
      <c r="D11" s="35" t="s">
        <v>13</v>
      </c>
      <c r="E11" s="35" t="s">
        <v>12</v>
      </c>
      <c r="F11" s="36">
        <v>2700</v>
      </c>
      <c r="G11" s="35">
        <v>6</v>
      </c>
      <c r="H11" s="35" t="str">
        <f t="shared" si="1"/>
        <v>New</v>
      </c>
      <c r="I11" s="35" t="str">
        <f t="shared" si="0"/>
        <v>18-25</v>
      </c>
    </row>
    <row r="12" spans="1:11" ht="15.5" x14ac:dyDescent="0.25">
      <c r="A12" s="35">
        <v>110</v>
      </c>
      <c r="B12" s="35" t="s">
        <v>58</v>
      </c>
      <c r="C12" s="35">
        <v>29</v>
      </c>
      <c r="D12" s="35" t="s">
        <v>15</v>
      </c>
      <c r="E12" s="35" t="s">
        <v>14</v>
      </c>
      <c r="F12" s="36">
        <v>2000</v>
      </c>
      <c r="G12" s="35">
        <v>4</v>
      </c>
      <c r="H12" s="35" t="str">
        <f t="shared" si="1"/>
        <v>Loyal</v>
      </c>
      <c r="I12" s="35" t="str">
        <f t="shared" si="0"/>
        <v>31-35</v>
      </c>
    </row>
    <row r="13" spans="1:11" ht="15.5" x14ac:dyDescent="0.25">
      <c r="A13" s="35">
        <v>111</v>
      </c>
      <c r="B13" s="35" t="s">
        <v>59</v>
      </c>
      <c r="C13" s="35">
        <v>26</v>
      </c>
      <c r="D13" s="35" t="s">
        <v>13</v>
      </c>
      <c r="E13" s="35" t="s">
        <v>16</v>
      </c>
      <c r="F13" s="36">
        <v>1100</v>
      </c>
      <c r="G13" s="35">
        <v>3</v>
      </c>
      <c r="H13" s="35" t="str">
        <f t="shared" si="1"/>
        <v>Regular</v>
      </c>
      <c r="I13" s="35" t="str">
        <f t="shared" si="0"/>
        <v>26-30</v>
      </c>
    </row>
    <row r="14" spans="1:11" ht="15.5" x14ac:dyDescent="0.25">
      <c r="A14" s="35">
        <v>112</v>
      </c>
      <c r="B14" s="35" t="s">
        <v>60</v>
      </c>
      <c r="C14" s="35">
        <v>32</v>
      </c>
      <c r="D14" s="35" t="s">
        <v>15</v>
      </c>
      <c r="E14" s="35" t="s">
        <v>12</v>
      </c>
      <c r="F14" s="36">
        <v>2600</v>
      </c>
      <c r="G14" s="35">
        <v>5</v>
      </c>
      <c r="H14" s="35" t="str">
        <f t="shared" si="1"/>
        <v>Regular</v>
      </c>
      <c r="I14" s="35" t="str">
        <f t="shared" si="0"/>
        <v>26-30</v>
      </c>
    </row>
    <row r="15" spans="1:11" ht="15.5" x14ac:dyDescent="0.25">
      <c r="A15" s="35">
        <v>113</v>
      </c>
      <c r="B15" s="35" t="s">
        <v>61</v>
      </c>
      <c r="C15" s="35">
        <v>24</v>
      </c>
      <c r="D15" s="35" t="s">
        <v>13</v>
      </c>
      <c r="E15" s="35" t="s">
        <v>17</v>
      </c>
      <c r="F15" s="36">
        <v>700</v>
      </c>
      <c r="G15" s="35">
        <v>1</v>
      </c>
      <c r="H15" s="35" t="str">
        <f t="shared" si="1"/>
        <v>Loyal</v>
      </c>
      <c r="I15" s="35" t="str">
        <f t="shared" si="0"/>
        <v>31-35</v>
      </c>
    </row>
    <row r="16" spans="1:11" ht="15.5" x14ac:dyDescent="0.25">
      <c r="A16" s="35">
        <v>114</v>
      </c>
      <c r="B16" s="35" t="s">
        <v>62</v>
      </c>
      <c r="C16" s="35">
        <v>28</v>
      </c>
      <c r="D16" s="35" t="s">
        <v>15</v>
      </c>
      <c r="E16" s="35" t="s">
        <v>14</v>
      </c>
      <c r="F16" s="36">
        <v>2400</v>
      </c>
      <c r="G16" s="35">
        <v>5</v>
      </c>
      <c r="H16" s="35" t="str">
        <f t="shared" si="1"/>
        <v>New</v>
      </c>
      <c r="I16" s="35" t="str">
        <f t="shared" si="0"/>
        <v>18-25</v>
      </c>
    </row>
    <row r="17" spans="1:9" ht="15.5" x14ac:dyDescent="0.25">
      <c r="A17" s="35">
        <v>115</v>
      </c>
      <c r="B17" s="35" t="s">
        <v>63</v>
      </c>
      <c r="C17" s="35">
        <v>38</v>
      </c>
      <c r="D17" s="35" t="s">
        <v>13</v>
      </c>
      <c r="E17" s="35" t="s">
        <v>16</v>
      </c>
      <c r="F17" s="36">
        <v>3200</v>
      </c>
      <c r="G17" s="35">
        <v>7</v>
      </c>
      <c r="H17" s="35" t="str">
        <f t="shared" si="1"/>
        <v>Loyal</v>
      </c>
      <c r="I17" s="35" t="str">
        <f t="shared" si="0"/>
        <v>26-30</v>
      </c>
    </row>
    <row r="18" spans="1:9" ht="15.5" x14ac:dyDescent="0.25">
      <c r="A18" s="35">
        <v>116</v>
      </c>
      <c r="B18" s="35" t="s">
        <v>64</v>
      </c>
      <c r="C18" s="35">
        <v>27</v>
      </c>
      <c r="D18" s="35" t="s">
        <v>15</v>
      </c>
      <c r="E18" s="35" t="s">
        <v>17</v>
      </c>
      <c r="F18" s="36">
        <v>1500</v>
      </c>
      <c r="G18" s="35">
        <v>3</v>
      </c>
      <c r="H18" s="35" t="str">
        <f t="shared" si="1"/>
        <v>High Loyalty</v>
      </c>
      <c r="I18" s="35" t="str">
        <f t="shared" si="0"/>
        <v>36-40</v>
      </c>
    </row>
    <row r="19" spans="1:9" ht="15.5" x14ac:dyDescent="0.25">
      <c r="A19" s="35">
        <v>117</v>
      </c>
      <c r="B19" s="35" t="s">
        <v>65</v>
      </c>
      <c r="C19" s="35">
        <v>45</v>
      </c>
      <c r="D19" s="35" t="s">
        <v>13</v>
      </c>
      <c r="E19" s="35" t="s">
        <v>12</v>
      </c>
      <c r="F19" s="36">
        <v>3500</v>
      </c>
      <c r="G19" s="35">
        <v>8</v>
      </c>
      <c r="H19" s="35" t="str">
        <f t="shared" si="1"/>
        <v>Regular</v>
      </c>
      <c r="I19" s="35" t="str">
        <f t="shared" si="0"/>
        <v>26-30</v>
      </c>
    </row>
    <row r="20" spans="1:9" ht="15.5" x14ac:dyDescent="0.25">
      <c r="A20" s="35">
        <v>118</v>
      </c>
      <c r="B20" s="35" t="s">
        <v>66</v>
      </c>
      <c r="C20" s="35">
        <v>21</v>
      </c>
      <c r="D20" s="35" t="s">
        <v>15</v>
      </c>
      <c r="E20" s="35" t="s">
        <v>14</v>
      </c>
      <c r="F20" s="36">
        <v>900</v>
      </c>
      <c r="G20" s="35">
        <v>2</v>
      </c>
      <c r="H20" s="35" t="str">
        <f t="shared" si="1"/>
        <v>High Loyalty</v>
      </c>
      <c r="I20" s="35" t="str">
        <f t="shared" si="0"/>
        <v>40+</v>
      </c>
    </row>
    <row r="21" spans="1:9" ht="15.5" x14ac:dyDescent="0.25">
      <c r="A21" s="35">
        <v>119</v>
      </c>
      <c r="B21" s="35" t="s">
        <v>67</v>
      </c>
      <c r="C21" s="35">
        <v>33</v>
      </c>
      <c r="D21" s="35" t="s">
        <v>13</v>
      </c>
      <c r="E21" s="35" t="s">
        <v>16</v>
      </c>
      <c r="F21" s="36">
        <v>2100</v>
      </c>
      <c r="G21" s="35">
        <v>4</v>
      </c>
      <c r="H21" s="35" t="str">
        <f t="shared" si="1"/>
        <v>New</v>
      </c>
      <c r="I21" s="35" t="str">
        <f t="shared" si="0"/>
        <v>18-25</v>
      </c>
    </row>
    <row r="22" spans="1:9" ht="15.5" x14ac:dyDescent="0.25">
      <c r="A22" s="35">
        <v>120</v>
      </c>
      <c r="B22" s="35" t="s">
        <v>68</v>
      </c>
      <c r="C22" s="35">
        <v>30</v>
      </c>
      <c r="D22" s="35" t="s">
        <v>15</v>
      </c>
      <c r="E22" s="35" t="s">
        <v>17</v>
      </c>
      <c r="F22" s="36">
        <v>1700</v>
      </c>
      <c r="G22" s="35">
        <v>3</v>
      </c>
      <c r="H22" s="35" t="str">
        <f t="shared" si="1"/>
        <v>Regular</v>
      </c>
      <c r="I22" s="35" t="str">
        <f t="shared" si="0"/>
        <v>31-35</v>
      </c>
    </row>
    <row r="23" spans="1:9" ht="15.5" x14ac:dyDescent="0.25">
      <c r="A23" s="35">
        <v>121</v>
      </c>
      <c r="B23" s="35" t="s">
        <v>69</v>
      </c>
      <c r="C23" s="35">
        <v>36</v>
      </c>
      <c r="D23" s="35" t="s">
        <v>13</v>
      </c>
      <c r="E23" s="35" t="s">
        <v>14</v>
      </c>
      <c r="F23" s="36">
        <v>2800</v>
      </c>
      <c r="G23" s="35">
        <v>6</v>
      </c>
      <c r="H23" s="35" t="str">
        <f t="shared" si="1"/>
        <v>Regular</v>
      </c>
      <c r="I23" s="35" t="str">
        <f t="shared" si="0"/>
        <v>26-30</v>
      </c>
    </row>
    <row r="24" spans="1:9" ht="15.5" x14ac:dyDescent="0.25">
      <c r="A24" s="35">
        <v>122</v>
      </c>
      <c r="B24" s="35" t="s">
        <v>70</v>
      </c>
      <c r="C24" s="35">
        <v>25</v>
      </c>
      <c r="D24" s="35" t="s">
        <v>15</v>
      </c>
      <c r="E24" s="35" t="s">
        <v>16</v>
      </c>
      <c r="F24" s="36">
        <v>1300</v>
      </c>
      <c r="G24" s="35">
        <v>3</v>
      </c>
      <c r="H24" s="35" t="str">
        <f t="shared" si="1"/>
        <v>Loyal</v>
      </c>
      <c r="I24" s="35" t="str">
        <f t="shared" si="0"/>
        <v>36-40</v>
      </c>
    </row>
    <row r="25" spans="1:9" ht="15.5" x14ac:dyDescent="0.25">
      <c r="A25" s="35">
        <v>123</v>
      </c>
      <c r="B25" s="35" t="s">
        <v>71</v>
      </c>
      <c r="C25" s="35">
        <v>29</v>
      </c>
      <c r="D25" s="35" t="s">
        <v>13</v>
      </c>
      <c r="E25" s="35" t="s">
        <v>12</v>
      </c>
      <c r="F25" s="36">
        <v>1900</v>
      </c>
      <c r="G25" s="35">
        <v>4</v>
      </c>
      <c r="H25" s="35" t="str">
        <f t="shared" si="1"/>
        <v>Regular</v>
      </c>
      <c r="I25" s="35" t="str">
        <f t="shared" si="0"/>
        <v>18-25</v>
      </c>
    </row>
    <row r="26" spans="1:9" ht="15.5" x14ac:dyDescent="0.25">
      <c r="A26" s="35">
        <v>124</v>
      </c>
      <c r="B26" s="35" t="s">
        <v>72</v>
      </c>
      <c r="C26" s="35">
        <v>34</v>
      </c>
      <c r="D26" s="35" t="s">
        <v>15</v>
      </c>
      <c r="E26" s="35" t="s">
        <v>17</v>
      </c>
      <c r="F26" s="36">
        <v>2100</v>
      </c>
      <c r="G26" s="35">
        <v>5</v>
      </c>
      <c r="H26" s="35" t="str">
        <f t="shared" si="1"/>
        <v>Regular</v>
      </c>
      <c r="I26" s="35" t="str">
        <f t="shared" si="0"/>
        <v>26-30</v>
      </c>
    </row>
    <row r="27" spans="1:9" ht="15.5" x14ac:dyDescent="0.25">
      <c r="A27" s="35">
        <v>125</v>
      </c>
      <c r="B27" s="35" t="s">
        <v>73</v>
      </c>
      <c r="C27" s="35">
        <v>28</v>
      </c>
      <c r="D27" s="35" t="s">
        <v>13</v>
      </c>
      <c r="E27" s="35" t="s">
        <v>14</v>
      </c>
      <c r="F27" s="36">
        <v>2600</v>
      </c>
      <c r="G27" s="35">
        <v>5</v>
      </c>
      <c r="H27" s="35" t="str">
        <f t="shared" si="1"/>
        <v>Loyal</v>
      </c>
      <c r="I27" s="35" t="str">
        <f t="shared" si="0"/>
        <v>31-35</v>
      </c>
    </row>
    <row r="28" spans="1:9" ht="15.5" x14ac:dyDescent="0.25">
      <c r="A28" s="35">
        <v>126</v>
      </c>
      <c r="B28" s="35" t="s">
        <v>74</v>
      </c>
      <c r="C28" s="35">
        <v>31</v>
      </c>
      <c r="D28" s="35" t="s">
        <v>15</v>
      </c>
      <c r="E28" s="35" t="s">
        <v>16</v>
      </c>
      <c r="F28" s="36">
        <v>1800</v>
      </c>
      <c r="G28" s="35">
        <v>4</v>
      </c>
      <c r="H28" s="35" t="str">
        <f t="shared" si="1"/>
        <v>Loyal</v>
      </c>
      <c r="I28" s="35" t="str">
        <f t="shared" si="0"/>
        <v>26-30</v>
      </c>
    </row>
    <row r="29" spans="1:9" ht="15.5" x14ac:dyDescent="0.25">
      <c r="A29" s="35">
        <v>127</v>
      </c>
      <c r="B29" s="35" t="s">
        <v>75</v>
      </c>
      <c r="C29" s="35">
        <v>39</v>
      </c>
      <c r="D29" s="35" t="s">
        <v>13</v>
      </c>
      <c r="E29" s="35" t="s">
        <v>12</v>
      </c>
      <c r="F29" s="36">
        <v>3000</v>
      </c>
      <c r="G29" s="35">
        <v>7</v>
      </c>
      <c r="H29" s="35" t="str">
        <f t="shared" si="1"/>
        <v>Regular</v>
      </c>
      <c r="I29" s="35" t="str">
        <f t="shared" si="0"/>
        <v>31-35</v>
      </c>
    </row>
    <row r="30" spans="1:9" ht="15.5" x14ac:dyDescent="0.25">
      <c r="A30" s="35">
        <v>128</v>
      </c>
      <c r="B30" s="35" t="s">
        <v>76</v>
      </c>
      <c r="C30" s="35">
        <v>22</v>
      </c>
      <c r="D30" s="35" t="s">
        <v>15</v>
      </c>
      <c r="E30" s="35" t="s">
        <v>17</v>
      </c>
      <c r="F30" s="36">
        <v>800</v>
      </c>
      <c r="G30" s="35">
        <v>2</v>
      </c>
      <c r="H30" s="35" t="str">
        <f t="shared" si="1"/>
        <v>High Loyalty</v>
      </c>
      <c r="I30" s="35" t="str">
        <f t="shared" si="0"/>
        <v>36-40</v>
      </c>
    </row>
    <row r="31" spans="1:9" ht="15.5" x14ac:dyDescent="0.25">
      <c r="A31" s="35">
        <v>129</v>
      </c>
      <c r="B31" s="35" t="s">
        <v>77</v>
      </c>
      <c r="C31" s="35">
        <v>42</v>
      </c>
      <c r="D31" s="35" t="s">
        <v>13</v>
      </c>
      <c r="E31" s="35" t="s">
        <v>14</v>
      </c>
      <c r="F31" s="36">
        <v>3300</v>
      </c>
      <c r="G31" s="35">
        <v>8</v>
      </c>
      <c r="H31" s="35" t="str">
        <f t="shared" si="1"/>
        <v>New</v>
      </c>
      <c r="I31" s="35" t="str">
        <f t="shared" si="0"/>
        <v>18-25</v>
      </c>
    </row>
    <row r="32" spans="1:9" ht="15.5" x14ac:dyDescent="0.25">
      <c r="A32" s="35">
        <v>130</v>
      </c>
      <c r="B32" s="35" t="s">
        <v>78</v>
      </c>
      <c r="C32" s="35">
        <v>26</v>
      </c>
      <c r="D32" s="35" t="s">
        <v>15</v>
      </c>
      <c r="E32" s="35" t="s">
        <v>16</v>
      </c>
      <c r="F32" s="36">
        <v>1400</v>
      </c>
      <c r="G32" s="35">
        <v>3</v>
      </c>
      <c r="H32" s="35" t="str">
        <f t="shared" si="1"/>
        <v>High Loyalty</v>
      </c>
      <c r="I32" s="35" t="str">
        <f t="shared" si="0"/>
        <v>40+</v>
      </c>
    </row>
    <row r="33" spans="1:9" ht="15.5" x14ac:dyDescent="0.25">
      <c r="A33" s="35">
        <v>131</v>
      </c>
      <c r="B33" s="35" t="s">
        <v>79</v>
      </c>
      <c r="C33" s="35">
        <v>27</v>
      </c>
      <c r="D33" s="35" t="s">
        <v>13</v>
      </c>
      <c r="E33" s="35" t="s">
        <v>17</v>
      </c>
      <c r="F33" s="36">
        <v>1600</v>
      </c>
      <c r="G33" s="35">
        <v>3</v>
      </c>
      <c r="H33" s="35" t="str">
        <f t="shared" si="1"/>
        <v>Regular</v>
      </c>
      <c r="I33" s="35" t="str">
        <f t="shared" si="0"/>
        <v>26-30</v>
      </c>
    </row>
    <row r="34" spans="1:9" ht="15.5" x14ac:dyDescent="0.25">
      <c r="A34" s="35">
        <v>132</v>
      </c>
      <c r="B34" s="35" t="s">
        <v>80</v>
      </c>
      <c r="C34" s="35">
        <v>33</v>
      </c>
      <c r="D34" s="35" t="s">
        <v>15</v>
      </c>
      <c r="E34" s="35" t="s">
        <v>12</v>
      </c>
      <c r="F34" s="36">
        <v>2700</v>
      </c>
      <c r="G34" s="35">
        <v>6</v>
      </c>
      <c r="H34" s="35" t="str">
        <f t="shared" si="1"/>
        <v>Regular</v>
      </c>
      <c r="I34" s="35" t="str">
        <f t="shared" si="0"/>
        <v>26-30</v>
      </c>
    </row>
    <row r="35" spans="1:9" ht="15.5" x14ac:dyDescent="0.25">
      <c r="A35" s="35">
        <v>133</v>
      </c>
      <c r="B35" s="35" t="s">
        <v>81</v>
      </c>
      <c r="C35" s="35">
        <v>35</v>
      </c>
      <c r="D35" s="35" t="s">
        <v>13</v>
      </c>
      <c r="E35" s="35" t="s">
        <v>14</v>
      </c>
      <c r="F35" s="36">
        <v>2900</v>
      </c>
      <c r="G35" s="35">
        <v>7</v>
      </c>
      <c r="H35" s="35" t="str">
        <f t="shared" si="1"/>
        <v>Loyal</v>
      </c>
      <c r="I35" s="35" t="str">
        <f t="shared" ref="I35:I55" si="2">IF(C34&lt;=25,"18-25",IF(C34&lt;=30,"26-30",IF(C34&lt;=35,"31-35",IF(C34&lt;=40,"36-40","40+"))))</f>
        <v>31-35</v>
      </c>
    </row>
    <row r="36" spans="1:9" ht="15.5" x14ac:dyDescent="0.25">
      <c r="A36" s="35">
        <v>134</v>
      </c>
      <c r="B36" s="35" t="s">
        <v>82</v>
      </c>
      <c r="C36" s="35">
        <v>29</v>
      </c>
      <c r="D36" s="35" t="s">
        <v>15</v>
      </c>
      <c r="E36" s="35" t="s">
        <v>16</v>
      </c>
      <c r="F36" s="36">
        <v>2000</v>
      </c>
      <c r="G36" s="35">
        <v>4</v>
      </c>
      <c r="H36" s="35" t="str">
        <f t="shared" ref="H36:H55" si="3">IF(G35&gt;=7,"High Loyalty",IF(G35&gt;=5,"Loyal",IF(G35&gt;=3,"Regular","New")))</f>
        <v>High Loyalty</v>
      </c>
      <c r="I36" s="35" t="str">
        <f t="shared" si="2"/>
        <v>31-35</v>
      </c>
    </row>
    <row r="37" spans="1:9" ht="15.5" x14ac:dyDescent="0.25">
      <c r="A37" s="35">
        <v>135</v>
      </c>
      <c r="B37" s="35" t="s">
        <v>83</v>
      </c>
      <c r="C37" s="35">
        <v>41</v>
      </c>
      <c r="D37" s="35" t="s">
        <v>13</v>
      </c>
      <c r="E37" s="35" t="s">
        <v>17</v>
      </c>
      <c r="F37" s="36">
        <v>3100</v>
      </c>
      <c r="G37" s="35">
        <v>7</v>
      </c>
      <c r="H37" s="35" t="str">
        <f t="shared" si="3"/>
        <v>Regular</v>
      </c>
      <c r="I37" s="35" t="str">
        <f t="shared" si="2"/>
        <v>26-30</v>
      </c>
    </row>
    <row r="38" spans="1:9" ht="15.5" x14ac:dyDescent="0.25">
      <c r="A38" s="35">
        <v>136</v>
      </c>
      <c r="B38" s="35" t="s">
        <v>84</v>
      </c>
      <c r="C38" s="35">
        <v>24</v>
      </c>
      <c r="D38" s="35" t="s">
        <v>15</v>
      </c>
      <c r="E38" s="35" t="s">
        <v>14</v>
      </c>
      <c r="F38" s="36">
        <v>1200</v>
      </c>
      <c r="G38" s="35">
        <v>3</v>
      </c>
      <c r="H38" s="35" t="str">
        <f t="shared" si="3"/>
        <v>High Loyalty</v>
      </c>
      <c r="I38" s="35" t="str">
        <f t="shared" si="2"/>
        <v>40+</v>
      </c>
    </row>
    <row r="39" spans="1:9" ht="15.5" x14ac:dyDescent="0.25">
      <c r="A39" s="35">
        <v>137</v>
      </c>
      <c r="B39" s="35" t="s">
        <v>85</v>
      </c>
      <c r="C39" s="35">
        <v>38</v>
      </c>
      <c r="D39" s="35" t="s">
        <v>13</v>
      </c>
      <c r="E39" s="35" t="s">
        <v>12</v>
      </c>
      <c r="F39" s="36">
        <v>3400</v>
      </c>
      <c r="G39" s="35">
        <v>8</v>
      </c>
      <c r="H39" s="35" t="str">
        <f t="shared" si="3"/>
        <v>Regular</v>
      </c>
      <c r="I39" s="35" t="str">
        <f t="shared" si="2"/>
        <v>18-25</v>
      </c>
    </row>
    <row r="40" spans="1:9" ht="15.5" x14ac:dyDescent="0.25">
      <c r="A40" s="35">
        <v>138</v>
      </c>
      <c r="B40" s="35" t="s">
        <v>86</v>
      </c>
      <c r="C40" s="35">
        <v>27</v>
      </c>
      <c r="D40" s="35" t="s">
        <v>15</v>
      </c>
      <c r="E40" s="35" t="s">
        <v>16</v>
      </c>
      <c r="F40" s="36">
        <v>1700</v>
      </c>
      <c r="G40" s="35">
        <v>3</v>
      </c>
      <c r="H40" s="35" t="str">
        <f t="shared" si="3"/>
        <v>High Loyalty</v>
      </c>
      <c r="I40" s="35" t="str">
        <f t="shared" si="2"/>
        <v>36-40</v>
      </c>
    </row>
    <row r="41" spans="1:9" ht="15.5" x14ac:dyDescent="0.25">
      <c r="A41" s="35">
        <v>139</v>
      </c>
      <c r="B41" s="35" t="s">
        <v>87</v>
      </c>
      <c r="C41" s="35">
        <v>30</v>
      </c>
      <c r="D41" s="35" t="s">
        <v>13</v>
      </c>
      <c r="E41" s="35" t="s">
        <v>17</v>
      </c>
      <c r="F41" s="36">
        <v>2200</v>
      </c>
      <c r="G41" s="35">
        <v>5</v>
      </c>
      <c r="H41" s="35" t="str">
        <f t="shared" si="3"/>
        <v>Regular</v>
      </c>
      <c r="I41" s="35" t="str">
        <f t="shared" si="2"/>
        <v>26-30</v>
      </c>
    </row>
    <row r="42" spans="1:9" ht="15.5" x14ac:dyDescent="0.25">
      <c r="A42" s="35">
        <v>140</v>
      </c>
      <c r="B42" s="35" t="s">
        <v>88</v>
      </c>
      <c r="C42" s="35">
        <v>32</v>
      </c>
      <c r="D42" s="35" t="s">
        <v>15</v>
      </c>
      <c r="E42" s="35" t="s">
        <v>14</v>
      </c>
      <c r="F42" s="36">
        <v>2500</v>
      </c>
      <c r="G42" s="35">
        <v>6</v>
      </c>
      <c r="H42" s="35" t="str">
        <f t="shared" si="3"/>
        <v>Loyal</v>
      </c>
      <c r="I42" s="35" t="str">
        <f t="shared" si="2"/>
        <v>26-30</v>
      </c>
    </row>
    <row r="43" spans="1:9" ht="15.5" x14ac:dyDescent="0.25">
      <c r="A43" s="35">
        <v>141</v>
      </c>
      <c r="B43" s="35" t="s">
        <v>89</v>
      </c>
      <c r="C43" s="35">
        <v>36</v>
      </c>
      <c r="D43" s="35" t="s">
        <v>13</v>
      </c>
      <c r="E43" s="35" t="s">
        <v>16</v>
      </c>
      <c r="F43" s="36">
        <v>2800</v>
      </c>
      <c r="G43" s="35">
        <v>6</v>
      </c>
      <c r="H43" s="35" t="str">
        <f t="shared" si="3"/>
        <v>Loyal</v>
      </c>
      <c r="I43" s="35" t="str">
        <f t="shared" si="2"/>
        <v>31-35</v>
      </c>
    </row>
    <row r="44" spans="1:9" ht="15.5" x14ac:dyDescent="0.25">
      <c r="A44" s="35">
        <v>142</v>
      </c>
      <c r="B44" s="35" t="s">
        <v>90</v>
      </c>
      <c r="C44" s="35">
        <v>23</v>
      </c>
      <c r="D44" s="35" t="s">
        <v>15</v>
      </c>
      <c r="E44" s="35" t="s">
        <v>17</v>
      </c>
      <c r="F44" s="36">
        <v>900</v>
      </c>
      <c r="G44" s="35">
        <v>2</v>
      </c>
      <c r="H44" s="35" t="str">
        <f t="shared" si="3"/>
        <v>Loyal</v>
      </c>
      <c r="I44" s="35" t="str">
        <f t="shared" si="2"/>
        <v>36-40</v>
      </c>
    </row>
    <row r="45" spans="1:9" ht="15.5" x14ac:dyDescent="0.25">
      <c r="A45" s="35">
        <v>143</v>
      </c>
      <c r="B45" s="35" t="s">
        <v>91</v>
      </c>
      <c r="C45" s="35">
        <v>40</v>
      </c>
      <c r="D45" s="35" t="s">
        <v>13</v>
      </c>
      <c r="E45" s="35" t="s">
        <v>12</v>
      </c>
      <c r="F45" s="36">
        <v>3600</v>
      </c>
      <c r="G45" s="35">
        <v>9</v>
      </c>
      <c r="H45" s="35" t="str">
        <f t="shared" si="3"/>
        <v>New</v>
      </c>
      <c r="I45" s="35" t="str">
        <f t="shared" si="2"/>
        <v>18-25</v>
      </c>
    </row>
    <row r="46" spans="1:9" ht="15.5" x14ac:dyDescent="0.25">
      <c r="A46" s="35">
        <v>144</v>
      </c>
      <c r="B46" s="35" t="s">
        <v>92</v>
      </c>
      <c r="C46" s="35">
        <v>28</v>
      </c>
      <c r="D46" s="35" t="s">
        <v>15</v>
      </c>
      <c r="E46" s="35" t="s">
        <v>14</v>
      </c>
      <c r="F46" s="36">
        <v>2300</v>
      </c>
      <c r="G46" s="35">
        <v>5</v>
      </c>
      <c r="H46" s="35" t="str">
        <f t="shared" si="3"/>
        <v>High Loyalty</v>
      </c>
      <c r="I46" s="35" t="str">
        <f t="shared" si="2"/>
        <v>36-40</v>
      </c>
    </row>
    <row r="47" spans="1:9" ht="15.5" x14ac:dyDescent="0.25">
      <c r="A47" s="35">
        <v>145</v>
      </c>
      <c r="B47" s="35" t="s">
        <v>93</v>
      </c>
      <c r="C47" s="35">
        <v>34</v>
      </c>
      <c r="D47" s="35" t="s">
        <v>13</v>
      </c>
      <c r="E47" s="35" t="s">
        <v>16</v>
      </c>
      <c r="F47" s="36">
        <v>2600</v>
      </c>
      <c r="G47" s="35">
        <v>6</v>
      </c>
      <c r="H47" s="35" t="str">
        <f t="shared" si="3"/>
        <v>Loyal</v>
      </c>
      <c r="I47" s="35" t="str">
        <f t="shared" si="2"/>
        <v>26-30</v>
      </c>
    </row>
    <row r="48" spans="1:9" ht="15.5" x14ac:dyDescent="0.25">
      <c r="A48" s="35">
        <v>146</v>
      </c>
      <c r="B48" s="35" t="s">
        <v>94</v>
      </c>
      <c r="C48" s="35">
        <v>31</v>
      </c>
      <c r="D48" s="35" t="s">
        <v>15</v>
      </c>
      <c r="E48" s="35" t="s">
        <v>17</v>
      </c>
      <c r="F48" s="36">
        <v>2000</v>
      </c>
      <c r="G48" s="35">
        <v>4</v>
      </c>
      <c r="H48" s="35" t="str">
        <f t="shared" si="3"/>
        <v>Loyal</v>
      </c>
      <c r="I48" s="35" t="str">
        <f t="shared" si="2"/>
        <v>31-35</v>
      </c>
    </row>
    <row r="49" spans="1:9" ht="15.5" x14ac:dyDescent="0.25">
      <c r="A49" s="35">
        <v>147</v>
      </c>
      <c r="B49" s="35" t="s">
        <v>95</v>
      </c>
      <c r="C49" s="35">
        <v>37</v>
      </c>
      <c r="D49" s="35" t="s">
        <v>13</v>
      </c>
      <c r="E49" s="35" t="s">
        <v>12</v>
      </c>
      <c r="F49" s="36">
        <v>3100</v>
      </c>
      <c r="G49" s="35">
        <v>7</v>
      </c>
      <c r="H49" s="35" t="str">
        <f t="shared" si="3"/>
        <v>Regular</v>
      </c>
      <c r="I49" s="35" t="str">
        <f t="shared" si="2"/>
        <v>31-35</v>
      </c>
    </row>
    <row r="50" spans="1:9" ht="15.5" x14ac:dyDescent="0.25">
      <c r="A50" s="35">
        <v>148</v>
      </c>
      <c r="B50" s="35" t="s">
        <v>96</v>
      </c>
      <c r="C50" s="35">
        <v>26</v>
      </c>
      <c r="D50" s="35" t="s">
        <v>15</v>
      </c>
      <c r="E50" s="35" t="s">
        <v>14</v>
      </c>
      <c r="F50" s="36">
        <v>1500</v>
      </c>
      <c r="G50" s="35">
        <v>3</v>
      </c>
      <c r="H50" s="35" t="str">
        <f t="shared" si="3"/>
        <v>High Loyalty</v>
      </c>
      <c r="I50" s="35" t="str">
        <f t="shared" si="2"/>
        <v>36-40</v>
      </c>
    </row>
    <row r="51" spans="1:9" ht="15.5" x14ac:dyDescent="0.25">
      <c r="A51" s="35">
        <v>149</v>
      </c>
      <c r="B51" s="35" t="s">
        <v>97</v>
      </c>
      <c r="C51" s="35">
        <v>29</v>
      </c>
      <c r="D51" s="35" t="s">
        <v>13</v>
      </c>
      <c r="E51" s="35" t="s">
        <v>16</v>
      </c>
      <c r="F51" s="36">
        <v>2100</v>
      </c>
      <c r="G51" s="35">
        <v>5</v>
      </c>
      <c r="H51" s="35" t="str">
        <f t="shared" si="3"/>
        <v>Regular</v>
      </c>
      <c r="I51" s="35" t="str">
        <f t="shared" si="2"/>
        <v>26-30</v>
      </c>
    </row>
    <row r="52" spans="1:9" ht="15.5" x14ac:dyDescent="0.25">
      <c r="A52" s="35">
        <v>150</v>
      </c>
      <c r="B52" s="35" t="s">
        <v>98</v>
      </c>
      <c r="C52" s="35">
        <v>33</v>
      </c>
      <c r="D52" s="35" t="s">
        <v>15</v>
      </c>
      <c r="E52" s="35" t="s">
        <v>17</v>
      </c>
      <c r="F52" s="36">
        <v>1900</v>
      </c>
      <c r="G52" s="35">
        <v>4</v>
      </c>
      <c r="H52" s="35" t="str">
        <f t="shared" si="3"/>
        <v>Loyal</v>
      </c>
      <c r="I52" s="35" t="str">
        <f t="shared" si="2"/>
        <v>26-30</v>
      </c>
    </row>
    <row r="53" spans="1:9" ht="15.5" x14ac:dyDescent="0.25">
      <c r="A53" s="35">
        <v>152</v>
      </c>
      <c r="B53" s="35" t="s">
        <v>99</v>
      </c>
      <c r="C53" s="35">
        <v>28</v>
      </c>
      <c r="D53" s="35" t="s">
        <v>15</v>
      </c>
      <c r="E53" s="35" t="s">
        <v>14</v>
      </c>
      <c r="F53" s="36">
        <v>2400</v>
      </c>
      <c r="G53" s="35">
        <v>5</v>
      </c>
      <c r="H53" s="35" t="str">
        <f t="shared" si="3"/>
        <v>Regular</v>
      </c>
      <c r="I53" s="35" t="str">
        <f t="shared" si="2"/>
        <v>31-35</v>
      </c>
    </row>
    <row r="54" spans="1:9" ht="15.5" x14ac:dyDescent="0.25">
      <c r="A54" s="35">
        <v>153</v>
      </c>
      <c r="B54" s="35" t="s">
        <v>100</v>
      </c>
      <c r="C54" s="35">
        <v>30</v>
      </c>
      <c r="D54" s="35" t="s">
        <v>13</v>
      </c>
      <c r="E54" s="35" t="s">
        <v>12</v>
      </c>
      <c r="F54" s="36">
        <v>2000</v>
      </c>
      <c r="G54" s="35">
        <v>4</v>
      </c>
      <c r="H54" s="35" t="str">
        <f t="shared" si="3"/>
        <v>Loyal</v>
      </c>
      <c r="I54" s="35" t="str">
        <f t="shared" si="2"/>
        <v>26-30</v>
      </c>
    </row>
    <row r="55" spans="1:9" ht="15.5" x14ac:dyDescent="0.25">
      <c r="A55" s="35">
        <v>154</v>
      </c>
      <c r="B55" s="35" t="s">
        <v>53</v>
      </c>
      <c r="C55" s="35">
        <v>35</v>
      </c>
      <c r="D55" s="35" t="s">
        <v>13</v>
      </c>
      <c r="E55" s="35" t="s">
        <v>12</v>
      </c>
      <c r="F55" s="36">
        <v>2100</v>
      </c>
      <c r="G55" s="35">
        <v>4</v>
      </c>
      <c r="H55" s="35" t="str">
        <f t="shared" si="3"/>
        <v>Regular</v>
      </c>
      <c r="I55" s="35" t="str">
        <f t="shared" si="2"/>
        <v>26-30</v>
      </c>
    </row>
  </sheetData>
  <mergeCells count="1">
    <mergeCell ref="A1:I1"/>
  </mergeCells>
  <conditionalFormatting sqref="A3:I55">
    <cfRule type="expression" dxfId="24" priority="2">
      <formula>MOD(ROW(),2)=0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E7"/>
  <sheetViews>
    <sheetView tabSelected="1" zoomScale="110" zoomScaleNormal="45" workbookViewId="0">
      <selection sqref="A1:E1"/>
    </sheetView>
  </sheetViews>
  <sheetFormatPr defaultColWidth="11.54296875" defaultRowHeight="12.5" x14ac:dyDescent="0.25"/>
  <cols>
    <col min="1" max="1" width="22.90625" customWidth="1"/>
    <col min="2" max="2" width="20.81640625" customWidth="1"/>
    <col min="3" max="3" width="23.08984375" customWidth="1"/>
    <col min="4" max="4" width="19.54296875" customWidth="1"/>
    <col min="5" max="5" width="14.6328125" customWidth="1"/>
  </cols>
  <sheetData>
    <row r="1" spans="1:5" ht="15.5" x14ac:dyDescent="0.35">
      <c r="A1" s="37" t="s">
        <v>101</v>
      </c>
      <c r="B1" s="37"/>
      <c r="C1" s="37"/>
      <c r="D1" s="37"/>
      <c r="E1" s="37"/>
    </row>
    <row r="2" spans="1:5" ht="15.5" x14ac:dyDescent="0.35">
      <c r="A2" s="38" t="s">
        <v>48</v>
      </c>
      <c r="B2" s="39" t="s">
        <v>102</v>
      </c>
      <c r="C2" s="39" t="s">
        <v>103</v>
      </c>
      <c r="D2" s="39" t="s">
        <v>11</v>
      </c>
      <c r="E2" s="40" t="s">
        <v>104</v>
      </c>
    </row>
    <row r="3" spans="1:5" ht="15.5" x14ac:dyDescent="0.25">
      <c r="A3" s="41" t="s">
        <v>24</v>
      </c>
      <c r="B3" s="42">
        <v>21</v>
      </c>
      <c r="C3" s="43">
        <v>48200</v>
      </c>
      <c r="D3" s="44">
        <v>5.0476190476190501</v>
      </c>
      <c r="E3" s="45">
        <f>C3/SUM($C$3:$C$6)*100</f>
        <v>43.074173369079531</v>
      </c>
    </row>
    <row r="4" spans="1:5" ht="15.5" x14ac:dyDescent="0.25">
      <c r="A4" s="41" t="s">
        <v>26</v>
      </c>
      <c r="B4" s="42">
        <v>17</v>
      </c>
      <c r="C4" s="43">
        <v>33300</v>
      </c>
      <c r="D4" s="44">
        <v>4.2352941176470598</v>
      </c>
      <c r="E4" s="45">
        <f>C4/SUM($C$3:$C$6)*100</f>
        <v>29.75871313672922</v>
      </c>
    </row>
    <row r="5" spans="1:5" ht="15.5" x14ac:dyDescent="0.25">
      <c r="A5" s="41" t="s">
        <v>30</v>
      </c>
      <c r="B5" s="42">
        <v>9</v>
      </c>
      <c r="C5" s="43">
        <v>13300</v>
      </c>
      <c r="D5" s="44">
        <v>3.1111111111111098</v>
      </c>
      <c r="E5" s="45">
        <f>C5/SUM($C$3:$C$6)*100</f>
        <v>11.885612153708669</v>
      </c>
    </row>
    <row r="6" spans="1:5" ht="15.5" x14ac:dyDescent="0.25">
      <c r="A6" s="41" t="s">
        <v>28</v>
      </c>
      <c r="B6" s="42">
        <v>6</v>
      </c>
      <c r="C6" s="43">
        <v>17100</v>
      </c>
      <c r="D6" s="44">
        <v>6.3333333333333304</v>
      </c>
      <c r="E6" s="45">
        <f>C6/SUM($C$3:$C$6)*100</f>
        <v>15.281501340482572</v>
      </c>
    </row>
    <row r="7" spans="1:5" ht="15.5" x14ac:dyDescent="0.25">
      <c r="A7" s="46" t="s">
        <v>105</v>
      </c>
      <c r="B7" s="47">
        <v>53</v>
      </c>
      <c r="C7" s="48">
        <v>111900</v>
      </c>
      <c r="D7" s="49">
        <v>4.6037735849056602</v>
      </c>
      <c r="E7" s="45">
        <f>C7/SUM($C$3:$C$6)*100</f>
        <v>100</v>
      </c>
    </row>
  </sheetData>
  <mergeCells count="1">
    <mergeCell ref="A1:E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F7"/>
  <sheetViews>
    <sheetView zoomScale="92" zoomScaleNormal="45" workbookViewId="0">
      <selection sqref="A1:F1"/>
    </sheetView>
  </sheetViews>
  <sheetFormatPr defaultColWidth="11.54296875" defaultRowHeight="12.5" x14ac:dyDescent="0.25"/>
  <cols>
    <col min="2" max="2" width="26.7265625" customWidth="1"/>
    <col min="3" max="3" width="19.54296875" customWidth="1"/>
    <col min="4" max="4" width="24.7265625" customWidth="1"/>
    <col min="5" max="5" width="22.453125" customWidth="1"/>
    <col min="6" max="6" width="15.90625" customWidth="1"/>
  </cols>
  <sheetData>
    <row r="1" spans="1:6" ht="18.5" x14ac:dyDescent="0.25">
      <c r="A1" s="53" t="s">
        <v>106</v>
      </c>
      <c r="B1" s="53"/>
      <c r="C1" s="53"/>
      <c r="D1" s="53"/>
      <c r="E1" s="53"/>
      <c r="F1" s="53"/>
    </row>
    <row r="2" spans="1:6" ht="15.5" x14ac:dyDescent="0.25">
      <c r="A2" s="50" t="s">
        <v>6</v>
      </c>
      <c r="B2" s="51" t="s">
        <v>103</v>
      </c>
      <c r="C2" s="51" t="s">
        <v>107</v>
      </c>
      <c r="D2" s="51" t="s">
        <v>108</v>
      </c>
      <c r="E2" s="51" t="s">
        <v>109</v>
      </c>
      <c r="F2" s="52" t="s">
        <v>104</v>
      </c>
    </row>
    <row r="3" spans="1:6" ht="15.5" x14ac:dyDescent="0.25">
      <c r="A3" s="41" t="s">
        <v>12</v>
      </c>
      <c r="B3" s="43">
        <v>32100</v>
      </c>
      <c r="C3" s="42">
        <v>12</v>
      </c>
      <c r="D3" s="43">
        <v>2675</v>
      </c>
      <c r="E3" s="44">
        <v>6</v>
      </c>
      <c r="F3" s="45">
        <f>B3/SUM($B$3:$B$6)*100</f>
        <v>28.686327077747993</v>
      </c>
    </row>
    <row r="4" spans="1:6" ht="15.5" x14ac:dyDescent="0.25">
      <c r="A4" s="41" t="s">
        <v>14</v>
      </c>
      <c r="B4" s="43">
        <v>31500</v>
      </c>
      <c r="C4" s="42">
        <v>14</v>
      </c>
      <c r="D4" s="43">
        <v>2250</v>
      </c>
      <c r="E4" s="44">
        <v>4.9285714285714297</v>
      </c>
      <c r="F4" s="45">
        <f>B4/SUM($B$3:$B$6)*100</f>
        <v>28.150134048257375</v>
      </c>
    </row>
    <row r="5" spans="1:6" ht="15.5" x14ac:dyDescent="0.25">
      <c r="A5" s="41" t="s">
        <v>16</v>
      </c>
      <c r="B5" s="43">
        <v>27200</v>
      </c>
      <c r="C5" s="42">
        <v>14</v>
      </c>
      <c r="D5" s="43">
        <v>1942.8571428571399</v>
      </c>
      <c r="E5" s="44">
        <v>4.21428571428571</v>
      </c>
      <c r="F5" s="45">
        <f>B5/SUM($B$3:$B$6)*100</f>
        <v>24.307417336907953</v>
      </c>
    </row>
    <row r="6" spans="1:6" ht="15.5" x14ac:dyDescent="0.25">
      <c r="A6" s="41" t="s">
        <v>17</v>
      </c>
      <c r="B6" s="43">
        <v>21100</v>
      </c>
      <c r="C6" s="42">
        <v>13</v>
      </c>
      <c r="D6" s="43">
        <v>1623.0769230769199</v>
      </c>
      <c r="E6" s="44">
        <v>3.3846153846153801</v>
      </c>
      <c r="F6" s="45">
        <f>B6/SUM($B$3:$B$6)*100</f>
        <v>18.856121537086683</v>
      </c>
    </row>
    <row r="7" spans="1:6" ht="15.5" x14ac:dyDescent="0.25">
      <c r="A7" s="46" t="s">
        <v>105</v>
      </c>
      <c r="B7" s="48">
        <v>111900</v>
      </c>
      <c r="C7" s="47">
        <v>53</v>
      </c>
      <c r="D7" s="48">
        <v>2111.32075471698</v>
      </c>
      <c r="E7" s="49">
        <v>4.6037735849056602</v>
      </c>
      <c r="F7" s="35">
        <f>B7/SUM($B$3:$B$6)*100</f>
        <v>100</v>
      </c>
    </row>
  </sheetData>
  <mergeCells count="1">
    <mergeCell ref="A1:F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C4BE"/>
  </sheetPr>
  <dimension ref="A1:L24"/>
  <sheetViews>
    <sheetView zoomScale="92" zoomScaleNormal="92" workbookViewId="0">
      <selection sqref="A1:L1"/>
    </sheetView>
  </sheetViews>
  <sheetFormatPr defaultColWidth="11.54296875" defaultRowHeight="12.5" x14ac:dyDescent="0.25"/>
  <cols>
    <col min="2" max="2" width="23.54296875" customWidth="1"/>
    <col min="3" max="3" width="23" customWidth="1"/>
    <col min="4" max="4" width="24.453125" customWidth="1"/>
  </cols>
  <sheetData>
    <row r="1" spans="1:12" ht="18.5" x14ac:dyDescent="0.25">
      <c r="A1" s="67" t="s">
        <v>110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5.5" x14ac:dyDescent="0.35">
      <c r="A2" s="54" t="s">
        <v>111</v>
      </c>
      <c r="B2" s="54"/>
      <c r="C2" s="54"/>
      <c r="D2" s="54"/>
      <c r="E2" s="55"/>
      <c r="F2" s="55"/>
      <c r="G2" s="55"/>
      <c r="H2" s="55"/>
      <c r="I2" s="55"/>
      <c r="J2" s="55"/>
      <c r="K2" s="55"/>
      <c r="L2" s="55"/>
    </row>
    <row r="3" spans="1:12" ht="15.5" x14ac:dyDescent="0.35">
      <c r="A3" s="56" t="s">
        <v>10</v>
      </c>
      <c r="B3" s="57" t="s">
        <v>7</v>
      </c>
      <c r="C3" s="58" t="s">
        <v>103</v>
      </c>
      <c r="D3" s="59" t="s">
        <v>11</v>
      </c>
      <c r="E3" s="55"/>
      <c r="F3" s="55"/>
      <c r="G3" s="55"/>
      <c r="H3" s="55"/>
      <c r="I3" s="55"/>
      <c r="J3" s="55"/>
      <c r="K3" s="55"/>
      <c r="L3" s="55"/>
    </row>
    <row r="4" spans="1:12" ht="15.5" x14ac:dyDescent="0.35">
      <c r="A4" s="41" t="s">
        <v>15</v>
      </c>
      <c r="B4" s="42">
        <v>26</v>
      </c>
      <c r="C4" s="60">
        <v>48200</v>
      </c>
      <c r="D4" s="44">
        <v>3.9230769230769198</v>
      </c>
      <c r="E4" s="55"/>
      <c r="F4" s="55"/>
      <c r="G4" s="55"/>
      <c r="H4" s="55"/>
      <c r="I4" s="55"/>
      <c r="J4" s="55"/>
      <c r="K4" s="55"/>
      <c r="L4" s="55"/>
    </row>
    <row r="5" spans="1:12" ht="15.5" x14ac:dyDescent="0.35">
      <c r="A5" s="41" t="s">
        <v>13</v>
      </c>
      <c r="B5" s="42">
        <v>27</v>
      </c>
      <c r="C5" s="60">
        <v>63700</v>
      </c>
      <c r="D5" s="44">
        <v>5.2592592592592604</v>
      </c>
      <c r="E5" s="55"/>
      <c r="F5" s="55"/>
      <c r="G5" s="55"/>
      <c r="H5" s="55"/>
      <c r="I5" s="55"/>
      <c r="J5" s="55"/>
      <c r="K5" s="55"/>
      <c r="L5" s="55"/>
    </row>
    <row r="6" spans="1:12" ht="15.5" x14ac:dyDescent="0.35">
      <c r="A6" s="46" t="s">
        <v>105</v>
      </c>
      <c r="B6" s="47">
        <v>53</v>
      </c>
      <c r="C6" s="61">
        <v>111900</v>
      </c>
      <c r="D6" s="49">
        <v>4.6037735849056602</v>
      </c>
      <c r="E6" s="55"/>
      <c r="F6" s="55"/>
      <c r="G6" s="55"/>
      <c r="H6" s="55"/>
      <c r="I6" s="55"/>
      <c r="J6" s="55"/>
      <c r="K6" s="55"/>
      <c r="L6" s="55"/>
    </row>
    <row r="7" spans="1:12" ht="15.5" x14ac:dyDescent="0.3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5.5" x14ac:dyDescent="0.35">
      <c r="A8" s="62" t="s">
        <v>112</v>
      </c>
      <c r="B8" s="62"/>
      <c r="C8" s="62"/>
      <c r="D8" s="62"/>
      <c r="E8" s="55"/>
      <c r="F8" s="55"/>
      <c r="G8" s="55"/>
      <c r="H8" s="55"/>
      <c r="I8" s="55"/>
      <c r="J8" s="55"/>
      <c r="K8" s="55"/>
      <c r="L8" s="55"/>
    </row>
    <row r="9" spans="1:12" ht="15.5" x14ac:dyDescent="0.35">
      <c r="A9" s="50" t="s">
        <v>22</v>
      </c>
      <c r="B9" s="51" t="s">
        <v>113</v>
      </c>
      <c r="C9" s="51" t="s">
        <v>103</v>
      </c>
      <c r="D9" s="51" t="s">
        <v>114</v>
      </c>
      <c r="E9" s="55"/>
      <c r="F9" s="55"/>
      <c r="G9" s="55"/>
      <c r="H9" s="55"/>
      <c r="I9" s="55"/>
      <c r="J9" s="55"/>
      <c r="K9" s="55"/>
      <c r="L9" s="55"/>
    </row>
    <row r="10" spans="1:12" ht="15.5" x14ac:dyDescent="0.35">
      <c r="A10" s="63" t="s">
        <v>25</v>
      </c>
      <c r="B10" s="64">
        <v>9</v>
      </c>
      <c r="C10" s="65">
        <v>24900</v>
      </c>
      <c r="D10" s="66">
        <v>2766.6666666666702</v>
      </c>
      <c r="E10" s="55"/>
      <c r="F10" s="55"/>
      <c r="G10" s="55"/>
      <c r="H10" s="55"/>
      <c r="I10" s="55"/>
      <c r="J10" s="55"/>
      <c r="K10" s="55"/>
      <c r="L10" s="55"/>
    </row>
    <row r="11" spans="1:12" ht="15.5" x14ac:dyDescent="0.35">
      <c r="A11" s="63" t="s">
        <v>27</v>
      </c>
      <c r="B11" s="64">
        <v>20</v>
      </c>
      <c r="C11" s="65">
        <v>44000</v>
      </c>
      <c r="D11" s="66">
        <v>2200</v>
      </c>
      <c r="E11" s="55"/>
      <c r="F11" s="55"/>
      <c r="G11" s="55"/>
      <c r="H11" s="55"/>
      <c r="I11" s="55"/>
      <c r="J11" s="55"/>
      <c r="K11" s="55"/>
      <c r="L11" s="55"/>
    </row>
    <row r="12" spans="1:12" ht="15.5" x14ac:dyDescent="0.35">
      <c r="A12" s="63" t="s">
        <v>29</v>
      </c>
      <c r="B12" s="64">
        <v>12</v>
      </c>
      <c r="C12" s="65">
        <v>27400</v>
      </c>
      <c r="D12" s="66">
        <v>2283.3333333333298</v>
      </c>
      <c r="E12" s="55"/>
      <c r="F12" s="55"/>
      <c r="G12" s="55"/>
      <c r="H12" s="55"/>
      <c r="I12" s="55"/>
      <c r="J12" s="55"/>
      <c r="K12" s="55"/>
      <c r="L12" s="55"/>
    </row>
    <row r="13" spans="1:12" ht="15.5" x14ac:dyDescent="0.35">
      <c r="A13" s="63" t="s">
        <v>31</v>
      </c>
      <c r="B13" s="64">
        <v>8</v>
      </c>
      <c r="C13" s="65">
        <v>10900</v>
      </c>
      <c r="D13" s="66">
        <v>1362.5</v>
      </c>
      <c r="E13" s="55"/>
      <c r="F13" s="55"/>
      <c r="G13" s="55"/>
      <c r="H13" s="55"/>
      <c r="I13" s="55"/>
      <c r="J13" s="55"/>
      <c r="K13" s="55"/>
      <c r="L13" s="55"/>
    </row>
    <row r="14" spans="1:12" ht="15.5" x14ac:dyDescent="0.35">
      <c r="A14" s="63" t="s">
        <v>32</v>
      </c>
      <c r="B14" s="64">
        <v>4</v>
      </c>
      <c r="C14" s="65">
        <v>4700</v>
      </c>
      <c r="D14" s="66">
        <v>1175</v>
      </c>
      <c r="E14" s="55"/>
      <c r="F14" s="55"/>
      <c r="G14" s="55"/>
      <c r="H14" s="55"/>
      <c r="I14" s="55"/>
      <c r="J14" s="55"/>
      <c r="K14" s="55"/>
      <c r="L14" s="55"/>
    </row>
    <row r="15" spans="1:12" ht="15.5" x14ac:dyDescent="0.35">
      <c r="A15" s="46" t="s">
        <v>105</v>
      </c>
      <c r="B15" s="47">
        <v>53</v>
      </c>
      <c r="C15" s="61">
        <v>111900</v>
      </c>
      <c r="D15" s="48">
        <v>2111.32075471698</v>
      </c>
      <c r="E15" s="55"/>
      <c r="F15" s="55"/>
      <c r="G15" s="55"/>
      <c r="H15" s="55"/>
      <c r="I15" s="55"/>
      <c r="J15" s="55"/>
      <c r="K15" s="55"/>
      <c r="L15" s="55"/>
    </row>
    <row r="16" spans="1:12" ht="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">
    <mergeCell ref="A1:L1"/>
    <mergeCell ref="A2:D2"/>
    <mergeCell ref="A8:D8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Raw Data</vt:lpstr>
      <vt:lpstr>Segment  Data</vt:lpstr>
      <vt:lpstr>City Analysis</vt:lpstr>
      <vt:lpstr>Gender Analysis</vt:lpstr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Suryakiran Kambeti</cp:lastModifiedBy>
  <cp:revision>3</cp:revision>
  <dcterms:created xsi:type="dcterms:W3CDTF">2026-04-29T10:30:01Z</dcterms:created>
  <dcterms:modified xsi:type="dcterms:W3CDTF">2026-05-01T12:20:18Z</dcterms:modified>
  <dc:language>en-US</dc:language>
</cp:coreProperties>
</file>